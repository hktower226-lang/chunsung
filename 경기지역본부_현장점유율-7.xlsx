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837C4925-2793-A14E-8FB9-7F736CF77859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지부별 현장명단" sheetId="1" r:id="rId1"/>
    <sheet name="전체현황" sheetId="2" r:id="rId2"/>
    <sheet name="타워사별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1" l="1"/>
  <c r="J68" i="1"/>
  <c r="I68" i="1"/>
  <c r="H68" i="1"/>
  <c r="G68" i="1"/>
  <c r="F68" i="1"/>
  <c r="E68" i="1"/>
  <c r="K61" i="1"/>
  <c r="J61" i="1"/>
  <c r="I61" i="1"/>
  <c r="H61" i="1"/>
  <c r="G61" i="1"/>
  <c r="F61" i="1"/>
  <c r="E61" i="1"/>
  <c r="K49" i="1"/>
  <c r="J49" i="1"/>
  <c r="I49" i="1"/>
  <c r="H49" i="1"/>
  <c r="G49" i="1"/>
  <c r="F49" i="1"/>
  <c r="E49" i="1"/>
  <c r="K39" i="1"/>
  <c r="J39" i="1"/>
  <c r="I39" i="1"/>
  <c r="H39" i="1"/>
  <c r="G39" i="1"/>
  <c r="F39" i="1"/>
  <c r="E39" i="1"/>
  <c r="K29" i="1"/>
  <c r="J29" i="1"/>
  <c r="I29" i="1"/>
  <c r="H29" i="1"/>
  <c r="G29" i="1"/>
  <c r="F29" i="1"/>
  <c r="E29" i="1"/>
  <c r="K25" i="1"/>
  <c r="J25" i="1"/>
  <c r="I25" i="1"/>
  <c r="H25" i="1"/>
  <c r="G25" i="1"/>
  <c r="F25" i="1"/>
  <c r="E25" i="1"/>
  <c r="K22" i="1"/>
  <c r="J22" i="1"/>
  <c r="I22" i="1"/>
  <c r="H22" i="1"/>
  <c r="G22" i="1"/>
  <c r="F22" i="1"/>
  <c r="E22" i="1"/>
  <c r="K6" i="1"/>
  <c r="J6" i="1"/>
  <c r="I6" i="1"/>
  <c r="H6" i="1"/>
  <c r="G6" i="1"/>
  <c r="F6" i="1"/>
  <c r="E6" i="1"/>
</calcChain>
</file>

<file path=xl/sharedStrings.xml><?xml version="1.0" encoding="utf-8"?>
<sst xmlns="http://schemas.openxmlformats.org/spreadsheetml/2006/main" count="266" uniqueCount="154">
  <si>
    <t>전체 소속별 점유율 (통계제외 현장 제외)</t>
  </si>
  <si>
    <t>소속</t>
  </si>
  <si>
    <t>한노</t>
  </si>
  <si>
    <t>민노</t>
  </si>
  <si>
    <t>섬유</t>
  </si>
  <si>
    <t>건산</t>
  </si>
  <si>
    <t>직원</t>
  </si>
  <si>
    <t>기타</t>
  </si>
  <si>
    <t>합계</t>
  </si>
  <si>
    <t>비율</t>
  </si>
  <si>
    <t>전체</t>
  </si>
  <si>
    <t>100%</t>
  </si>
  <si>
    <t>지부별 소속 현황</t>
  </si>
  <si>
    <t>지부</t>
  </si>
  <si>
    <t>한노 (대)</t>
  </si>
  <si>
    <t>민노 (대)</t>
  </si>
  <si>
    <t>섬유 (대)</t>
  </si>
  <si>
    <t>건산 (대)</t>
  </si>
  <si>
    <t>직원 (대)</t>
  </si>
  <si>
    <t>기타 (대)</t>
  </si>
  <si>
    <t>한노 (%)</t>
  </si>
  <si>
    <t>민노 (%)</t>
  </si>
  <si>
    <t>섬유 (%)</t>
  </si>
  <si>
    <t>건산 (%)</t>
  </si>
  <si>
    <t>직원 (%)</t>
  </si>
  <si>
    <t>기타 (%)</t>
  </si>
  <si>
    <t>현장수</t>
  </si>
  <si>
    <t>북부지부</t>
  </si>
  <si>
    <t>남부지부</t>
  </si>
  <si>
    <t>남서지부</t>
  </si>
  <si>
    <t>동부지부</t>
  </si>
  <si>
    <t>서부지부</t>
  </si>
  <si>
    <t>북서지부</t>
  </si>
  <si>
    <t>용인지부</t>
  </si>
  <si>
    <t>중부지부</t>
  </si>
  <si>
    <t>경기지역본부 현장 점유율 현황</t>
  </si>
  <si>
    <t>현장명</t>
  </si>
  <si>
    <t>타워회사</t>
  </si>
  <si>
    <t>특이사항</t>
  </si>
  <si>
    <t>총대수</t>
  </si>
  <si>
    <t>비고</t>
  </si>
  <si>
    <t>북부</t>
  </si>
  <si>
    <t>복정동 한라건설</t>
  </si>
  <si>
    <t>주식회사 백산렌탈</t>
  </si>
  <si>
    <t>성남동원건설</t>
  </si>
  <si>
    <t>(주)대원타워렌탈</t>
  </si>
  <si>
    <t>제3판교 테크노밸리 상업 1-2,3블럭 업무시설 신축공사(동원건설산업)</t>
  </si>
  <si>
    <t>북부지부 소계</t>
  </si>
  <si>
    <t>남부</t>
  </si>
  <si>
    <t>동탄2 태영건설</t>
  </si>
  <si>
    <t>오투기계산업(주)</t>
  </si>
  <si>
    <t>동탄2 대우건설(국영)</t>
  </si>
  <si>
    <t>(주)국영타워랜드</t>
  </si>
  <si>
    <t>동탄2 대우건설(동양)</t>
  </si>
  <si>
    <t>(주)동양타워엔지니어링</t>
  </si>
  <si>
    <t>동탄2 한토</t>
  </si>
  <si>
    <t>국제산업렌탈(주)</t>
  </si>
  <si>
    <t>평택브레인시티 동원</t>
  </si>
  <si>
    <t>(주)우성건설기계</t>
  </si>
  <si>
    <t>평택고덕 대우건설(썬타워)</t>
  </si>
  <si>
    <t>(주)썬타워</t>
  </si>
  <si>
    <t>평택고덕 대우건설(한산타워)</t>
  </si>
  <si>
    <t>주식회사 한산타워</t>
  </si>
  <si>
    <t>화양지구 쌍용</t>
  </si>
  <si>
    <t>(주)예림타워</t>
  </si>
  <si>
    <t>안성농심</t>
  </si>
  <si>
    <t>(주)오성산업</t>
  </si>
  <si>
    <t>안성건영</t>
  </si>
  <si>
    <t>(주)중앙티씨렌탈</t>
  </si>
  <si>
    <t>동탄2 서희27블럭</t>
  </si>
  <si>
    <t>주식회사 우정타워</t>
  </si>
  <si>
    <t>63블럭 금호</t>
  </si>
  <si>
    <t>탑랜드</t>
  </si>
  <si>
    <t>평택고덕 금호건설 64bl</t>
  </si>
  <si>
    <t>정호개발주식회사</t>
  </si>
  <si>
    <t>평택 고덕국제화계획지구 Abc-36BL 공동주택 신축공사</t>
  </si>
  <si>
    <t>미정4</t>
  </si>
  <si>
    <t>남부지부 소계</t>
  </si>
  <si>
    <t>남서</t>
  </si>
  <si>
    <t>남양우미린</t>
  </si>
  <si>
    <t>뉴월드타워 주식회사</t>
  </si>
  <si>
    <t>남서지부 소계</t>
  </si>
  <si>
    <t>동부</t>
  </si>
  <si>
    <t>이천한양</t>
  </si>
  <si>
    <t>주식회사 현성건설</t>
  </si>
  <si>
    <t>현성</t>
  </si>
  <si>
    <t>통계제외</t>
  </si>
  <si>
    <t>요진건설</t>
  </si>
  <si>
    <t>동부지부 소계</t>
  </si>
  <si>
    <t>서부</t>
  </si>
  <si>
    <t>시화mtv주차장</t>
  </si>
  <si>
    <t>우리기계</t>
  </si>
  <si>
    <t>안산프로젝트팀부크(현대건설)</t>
  </si>
  <si>
    <t>주식회사 한불타워</t>
  </si>
  <si>
    <t>안산글로벌클라우드(삼성물산)</t>
  </si>
  <si>
    <t>하중지구 한신공영</t>
  </si>
  <si>
    <t>(주)신화중공업</t>
  </si>
  <si>
    <t>하중지구 양우건설</t>
  </si>
  <si>
    <t>(주)진성타워</t>
  </si>
  <si>
    <t>시흥거모지구 S-2BL,B-2BL(대방산업개발)</t>
  </si>
  <si>
    <t>배곧서울대학교병원</t>
  </si>
  <si>
    <t>(주)타워링</t>
  </si>
  <si>
    <t>시흥하중 A-1BL 공동주택 건설공사</t>
  </si>
  <si>
    <t>(주)규람타워렌탈</t>
  </si>
  <si>
    <t>미정2</t>
  </si>
  <si>
    <t>서부지부 소계</t>
  </si>
  <si>
    <t>북서</t>
  </si>
  <si>
    <t>군포시 SGC건설</t>
  </si>
  <si>
    <t>(주)한백산업</t>
  </si>
  <si>
    <t>관양동 DL이앤씨</t>
  </si>
  <si>
    <t>한백·벽산</t>
  </si>
  <si>
    <t>한백6대·벽산2대</t>
  </si>
  <si>
    <t>의왕청계 시티건설</t>
  </si>
  <si>
    <t>문민곤</t>
  </si>
  <si>
    <t>과천 태왕</t>
  </si>
  <si>
    <t>주식회사 비엠케이</t>
  </si>
  <si>
    <t>과천 주암동 디에이치 아델스타(현대건설)</t>
  </si>
  <si>
    <t>안양 샘병원</t>
  </si>
  <si>
    <t>주식회사 가람타워</t>
  </si>
  <si>
    <t>안양 박달동 신안아파트 재건축(현대산업개발)</t>
  </si>
  <si>
    <t>안양역세권지구 재개발정비사업(현대산업개발)</t>
  </si>
  <si>
    <t>북서지부 소계</t>
  </si>
  <si>
    <t>용인</t>
  </si>
  <si>
    <t>양지 대우 원클러스터</t>
  </si>
  <si>
    <t>양지 SM경남 아너스빌</t>
  </si>
  <si>
    <t>역북 푸르지오 클루센트(대우건설)</t>
  </si>
  <si>
    <t>벽산중기산업주식회사</t>
  </si>
  <si>
    <t>고림 대광로제비앙</t>
  </si>
  <si>
    <t>백암 오뚜기물류센타</t>
  </si>
  <si>
    <t>안양샘병원</t>
  </si>
  <si>
    <t>마평동 여성복지회관</t>
  </si>
  <si>
    <t>(주)무기타워렌탈</t>
  </si>
  <si>
    <t>신대지구 대우</t>
  </si>
  <si>
    <t>용인 라온프라이빗</t>
  </si>
  <si>
    <t>용인덕성 AI데이터센터 신축공사</t>
  </si>
  <si>
    <t>(주)타워랜드</t>
  </si>
  <si>
    <t>용인클러스터 상생협력시설(기숙사 1차)</t>
  </si>
  <si>
    <t>원철규(미정3)</t>
  </si>
  <si>
    <t>용인지부 소계</t>
  </si>
  <si>
    <t>중부</t>
  </si>
  <si>
    <t>당수동 한신</t>
  </si>
  <si>
    <t>주식회사월드타워</t>
  </si>
  <si>
    <t>당수동 한라</t>
  </si>
  <si>
    <t>당수동 계룡</t>
  </si>
  <si>
    <t>주식회사 화성건기</t>
  </si>
  <si>
    <t>영화동 두산</t>
  </si>
  <si>
    <t>(주)야후건기</t>
  </si>
  <si>
    <t>수원 친환경 에너지 개선공사 주기기 구매</t>
  </si>
  <si>
    <t>신우개발(주)</t>
  </si>
  <si>
    <t>이윤기</t>
  </si>
  <si>
    <t>중부지부 소계</t>
  </si>
  <si>
    <t>타워(렌탈)사별 점유 현황 (통계제외 제외)</t>
  </si>
  <si>
    <t>타워사</t>
  </si>
  <si>
    <t>한노점유율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</si>
</sst>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0"/>
      <color rgb="FFFFFFFF"/>
      <name val="Noto Sans CJK SC"/>
      <family val="2"/>
    </font>
    <font>
      <sz val="10"/>
      <name val="Noto Sans CJK SC"/>
      <family val="2"/>
    </font>
    <font>
      <b/>
      <sz val="10"/>
      <name val="Arial"/>
      <charset val="1"/>
    </font>
    <font>
      <i/>
      <sz val="10"/>
      <color rgb="FF999999"/>
      <name val="Arial"/>
      <charset val="1"/>
    </font>
    <font>
      <b/>
      <sz val="10"/>
      <name val="Noto Sans CJK SC"/>
      <family val="2"/>
    </font>
    <font>
      <sz val="10"/>
      <name val="Arial"/>
      <charset val="1"/>
    </font>
    <font>
      <i/>
      <sz val="10"/>
      <color rgb="FF999999"/>
      <name val="Noto Sans CJK SC"/>
      <family val="2"/>
    </font>
    <font>
      <sz val="10"/>
      <color rgb="FFB45309"/>
      <name val="Noto Sans CJK SC"/>
      <family val="2"/>
    </font>
    <font>
      <b/>
      <sz val="13"/>
      <color rgb="FFFFFFFF"/>
      <name val="Noto Sans CJK SC"/>
      <family val="2"/>
    </font>
    <font>
      <b/>
      <sz val="11"/>
      <color rgb="FFFFFFFF"/>
      <name val="Noto Sans CJK SC"/>
      <family val="2"/>
    </font>
    <font>
      <b/>
      <sz val="9"/>
      <color rgb="FFFFFFFF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3B6EA5"/>
        <bgColor rgb="FF4A9168"/>
      </patternFill>
    </fill>
    <fill>
      <patternFill patternType="solid">
        <fgColor rgb="FFB5483D"/>
        <bgColor rgb="FFB45309"/>
      </patternFill>
    </fill>
    <fill>
      <patternFill patternType="solid">
        <fgColor rgb="FF8A5FA8"/>
        <bgColor rgb="FF7A8389"/>
      </patternFill>
    </fill>
    <fill>
      <patternFill patternType="solid">
        <fgColor rgb="FFC97A2E"/>
        <bgColor rgb="FFB45309"/>
      </patternFill>
    </fill>
    <fill>
      <patternFill patternType="solid">
        <fgColor rgb="FF7A8389"/>
        <bgColor rgb="FF999999"/>
      </patternFill>
    </fill>
    <fill>
      <patternFill patternType="solid">
        <fgColor rgb="FF4A9168"/>
        <bgColor rgb="FF7A8389"/>
      </patternFill>
    </fill>
    <fill>
      <patternFill patternType="solid">
        <fgColor rgb="FFEFF3F8"/>
        <bgColor rgb="FFF8FAFC"/>
      </patternFill>
    </fill>
    <fill>
      <patternFill patternType="solid">
        <fgColor rgb="FFF8FAFC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76" fontId="7" fillId="1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/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389"/>
      <rgbColor rgb="FF9999FF"/>
      <rgbColor rgb="FFB5483D"/>
      <rgbColor rgb="FFF8FAFC"/>
      <rgbColor rgb="FFEFF3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6EA5"/>
      <rgbColor rgb="FF33CCCC"/>
      <rgbColor rgb="FF99CC00"/>
      <rgbColor rgb="FFFFCC00"/>
      <rgbColor rgb="FFFF9900"/>
      <rgbColor rgb="FFC97A2E"/>
      <rgbColor rgb="FF8A5FA8"/>
      <rgbColor rgb="FF999999"/>
      <rgbColor rgb="FF003366"/>
      <rgbColor rgb="FF4A9168"/>
      <rgbColor rgb="FF003300"/>
      <rgbColor rgb="FF333300"/>
      <rgbColor rgb="FFB45309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zoomScaleNormal="100" workbookViewId="0">
      <pane ySplit="2" topLeftCell="A62" activePane="bottomLeft" state="frozen"/>
      <selection pane="bottomLeft"/>
    </sheetView>
  </sheetViews>
  <sheetFormatPr defaultColWidth="8.7421875" defaultRowHeight="15" x14ac:dyDescent="0.2"/>
  <cols>
    <col min="1" max="1" width="7.93359375" customWidth="1"/>
    <col min="2" max="2" width="37.93359375" customWidth="1"/>
    <col min="3" max="3" width="25.9609375" customWidth="1"/>
    <col min="4" max="4" width="13.98828125" customWidth="1"/>
    <col min="5" max="5" width="6.9921875" customWidth="1"/>
    <col min="6" max="10" width="13.046875" customWidth="1"/>
    <col min="11" max="11" width="7.93359375" customWidth="1"/>
    <col min="12" max="12" width="13.98828125" customWidth="1"/>
  </cols>
  <sheetData>
    <row r="1" spans="1:12" ht="27.75" customHeight="1" x14ac:dyDescent="0.2">
      <c r="A1" s="31" t="s">
        <v>35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1.95" customHeight="1" x14ac:dyDescent="0.3">
      <c r="A2" s="1" t="s">
        <v>13</v>
      </c>
      <c r="B2" s="1" t="s">
        <v>36</v>
      </c>
      <c r="C2" s="1" t="s">
        <v>37</v>
      </c>
      <c r="D2" s="1" t="s">
        <v>38</v>
      </c>
      <c r="E2" s="2" t="s">
        <v>2</v>
      </c>
      <c r="F2" s="3" t="s">
        <v>3</v>
      </c>
      <c r="G2" s="4" t="s">
        <v>4</v>
      </c>
      <c r="H2" s="5" t="s">
        <v>5</v>
      </c>
      <c r="I2" s="6" t="s">
        <v>6</v>
      </c>
      <c r="J2" s="7" t="s">
        <v>7</v>
      </c>
      <c r="K2" s="1" t="s">
        <v>39</v>
      </c>
      <c r="L2" s="1" t="s">
        <v>40</v>
      </c>
    </row>
    <row r="3" spans="1:12" ht="21.95" customHeight="1" x14ac:dyDescent="0.3">
      <c r="A3" s="8" t="s">
        <v>41</v>
      </c>
      <c r="B3" s="9" t="s">
        <v>42</v>
      </c>
      <c r="C3" s="8" t="s">
        <v>43</v>
      </c>
      <c r="D3" s="9"/>
      <c r="E3" s="8">
        <v>1</v>
      </c>
      <c r="F3" s="8">
        <v>1</v>
      </c>
      <c r="G3" s="8">
        <v>0</v>
      </c>
      <c r="H3" s="8">
        <v>0</v>
      </c>
      <c r="I3" s="8">
        <v>0</v>
      </c>
      <c r="J3" s="8">
        <v>0</v>
      </c>
      <c r="K3" s="10">
        <v>2</v>
      </c>
      <c r="L3" s="11"/>
    </row>
    <row r="4" spans="1:12" ht="21.95" customHeight="1" x14ac:dyDescent="0.3">
      <c r="A4" s="8" t="s">
        <v>41</v>
      </c>
      <c r="B4" s="9" t="s">
        <v>44</v>
      </c>
      <c r="C4" s="8" t="s">
        <v>45</v>
      </c>
      <c r="D4" s="9"/>
      <c r="E4" s="8">
        <v>1</v>
      </c>
      <c r="F4" s="8">
        <v>1</v>
      </c>
      <c r="G4" s="8">
        <v>0</v>
      </c>
      <c r="H4" s="8">
        <v>0</v>
      </c>
      <c r="I4" s="8">
        <v>1</v>
      </c>
      <c r="J4" s="8">
        <v>0</v>
      </c>
      <c r="K4" s="10">
        <v>3</v>
      </c>
      <c r="L4" s="11"/>
    </row>
    <row r="5" spans="1:12" ht="33.950000000000003" customHeight="1" x14ac:dyDescent="0.3">
      <c r="A5" s="8" t="s">
        <v>41</v>
      </c>
      <c r="B5" s="9" t="s">
        <v>46</v>
      </c>
      <c r="C5" s="8" t="s">
        <v>45</v>
      </c>
      <c r="D5" s="9"/>
      <c r="E5" s="8">
        <v>1</v>
      </c>
      <c r="F5" s="8">
        <v>1</v>
      </c>
      <c r="G5" s="8">
        <v>0</v>
      </c>
      <c r="H5" s="8">
        <v>0</v>
      </c>
      <c r="I5" s="8">
        <v>1</v>
      </c>
      <c r="J5" s="8">
        <v>0</v>
      </c>
      <c r="K5" s="10">
        <v>3</v>
      </c>
    </row>
    <row r="6" spans="1:12" ht="30" x14ac:dyDescent="0.3">
      <c r="A6" s="12" t="s">
        <v>47</v>
      </c>
      <c r="B6" s="13"/>
      <c r="C6" s="13"/>
      <c r="D6" s="13"/>
      <c r="E6" s="12">
        <f>SUM(E3:E5)</f>
        <v>3</v>
      </c>
      <c r="F6" s="12">
        <f>SUM(F3:F5)</f>
        <v>3</v>
      </c>
      <c r="G6" s="12">
        <f>SUM(G3:G5)</f>
        <v>0</v>
      </c>
      <c r="H6" s="12">
        <f>SUM(H3:H5)</f>
        <v>0</v>
      </c>
      <c r="I6" s="12">
        <f>SUM(I3:I5)</f>
        <v>2</v>
      </c>
      <c r="J6" s="12">
        <f>SUM(J3:J5)</f>
        <v>0</v>
      </c>
      <c r="K6" s="12">
        <f>SUM(K3:K5)</f>
        <v>8</v>
      </c>
      <c r="L6" s="13"/>
    </row>
    <row r="7" spans="1:12" ht="15.75" customHeight="1" x14ac:dyDescent="0.2"/>
    <row r="8" spans="1:12" ht="21.95" customHeight="1" x14ac:dyDescent="0.3">
      <c r="A8" s="8" t="s">
        <v>48</v>
      </c>
      <c r="B8" s="9" t="s">
        <v>49</v>
      </c>
      <c r="C8" s="8" t="s">
        <v>50</v>
      </c>
      <c r="D8" s="9"/>
      <c r="E8" s="8">
        <v>2</v>
      </c>
      <c r="F8" s="8">
        <v>4</v>
      </c>
      <c r="G8" s="8">
        <v>0</v>
      </c>
      <c r="H8" s="8">
        <v>0</v>
      </c>
      <c r="I8" s="8">
        <v>2</v>
      </c>
      <c r="J8" s="8">
        <v>0</v>
      </c>
      <c r="K8" s="10">
        <v>8</v>
      </c>
      <c r="L8" s="11"/>
    </row>
    <row r="9" spans="1:12" ht="21.95" customHeight="1" x14ac:dyDescent="0.3">
      <c r="A9" s="8" t="s">
        <v>48</v>
      </c>
      <c r="B9" s="9" t="s">
        <v>51</v>
      </c>
      <c r="C9" s="8" t="s">
        <v>52</v>
      </c>
      <c r="D9" s="9"/>
      <c r="E9" s="8">
        <v>2</v>
      </c>
      <c r="F9" s="8">
        <v>2</v>
      </c>
      <c r="G9" s="8">
        <v>1</v>
      </c>
      <c r="H9" s="8">
        <v>1</v>
      </c>
      <c r="I9" s="8">
        <v>0</v>
      </c>
      <c r="J9" s="8">
        <v>0</v>
      </c>
      <c r="K9" s="10">
        <v>6</v>
      </c>
      <c r="L9" s="11"/>
    </row>
    <row r="10" spans="1:12" ht="21.95" customHeight="1" x14ac:dyDescent="0.3">
      <c r="A10" s="8" t="s">
        <v>48</v>
      </c>
      <c r="B10" s="9" t="s">
        <v>53</v>
      </c>
      <c r="C10" s="8" t="s">
        <v>54</v>
      </c>
      <c r="D10" s="9"/>
      <c r="E10" s="8">
        <v>1</v>
      </c>
      <c r="F10" s="8">
        <v>2</v>
      </c>
      <c r="G10" s="8">
        <v>0</v>
      </c>
      <c r="H10" s="8">
        <v>1</v>
      </c>
      <c r="I10" s="8">
        <v>1</v>
      </c>
      <c r="J10" s="8">
        <v>0</v>
      </c>
      <c r="K10" s="10">
        <v>5</v>
      </c>
      <c r="L10" s="11"/>
    </row>
    <row r="11" spans="1:12" ht="21.95" customHeight="1" x14ac:dyDescent="0.3">
      <c r="A11" s="8" t="s">
        <v>48</v>
      </c>
      <c r="B11" s="9" t="s">
        <v>55</v>
      </c>
      <c r="C11" s="8" t="s">
        <v>56</v>
      </c>
      <c r="D11" s="9"/>
      <c r="E11" s="8">
        <v>1</v>
      </c>
      <c r="F11" s="8">
        <v>1</v>
      </c>
      <c r="G11" s="8">
        <v>0</v>
      </c>
      <c r="H11" s="8">
        <v>0</v>
      </c>
      <c r="I11" s="8">
        <v>1</v>
      </c>
      <c r="J11" s="8">
        <v>0</v>
      </c>
      <c r="K11" s="10">
        <v>3</v>
      </c>
      <c r="L11" s="11"/>
    </row>
    <row r="12" spans="1:12" ht="21.95" customHeight="1" x14ac:dyDescent="0.3">
      <c r="A12" s="8" t="s">
        <v>48</v>
      </c>
      <c r="B12" s="9" t="s">
        <v>57</v>
      </c>
      <c r="C12" s="8" t="s">
        <v>58</v>
      </c>
      <c r="D12" s="9"/>
      <c r="E12" s="8">
        <v>2</v>
      </c>
      <c r="F12" s="8">
        <v>3</v>
      </c>
      <c r="G12" s="8">
        <v>0</v>
      </c>
      <c r="H12" s="8">
        <v>0</v>
      </c>
      <c r="I12" s="8">
        <v>1</v>
      </c>
      <c r="J12" s="8">
        <v>0</v>
      </c>
      <c r="K12" s="10">
        <v>6</v>
      </c>
      <c r="L12" s="11"/>
    </row>
    <row r="13" spans="1:12" ht="21.95" customHeight="1" x14ac:dyDescent="0.3">
      <c r="A13" s="8" t="s">
        <v>48</v>
      </c>
      <c r="B13" s="9" t="s">
        <v>59</v>
      </c>
      <c r="C13" s="8" t="s">
        <v>60</v>
      </c>
      <c r="D13" s="9"/>
      <c r="E13" s="8">
        <v>1</v>
      </c>
      <c r="F13" s="8">
        <v>2</v>
      </c>
      <c r="G13" s="8">
        <v>0</v>
      </c>
      <c r="H13" s="8">
        <v>1</v>
      </c>
      <c r="I13" s="8">
        <v>0</v>
      </c>
      <c r="J13" s="8">
        <v>0</v>
      </c>
      <c r="K13" s="10">
        <v>4</v>
      </c>
      <c r="L13" s="11"/>
    </row>
    <row r="14" spans="1:12" ht="21.95" customHeight="1" x14ac:dyDescent="0.3">
      <c r="A14" s="8" t="s">
        <v>48</v>
      </c>
      <c r="B14" s="9" t="s">
        <v>61</v>
      </c>
      <c r="C14" s="8" t="s">
        <v>62</v>
      </c>
      <c r="D14" s="9"/>
      <c r="E14" s="8">
        <v>1</v>
      </c>
      <c r="F14" s="8">
        <v>2</v>
      </c>
      <c r="G14" s="8">
        <v>0</v>
      </c>
      <c r="H14" s="8">
        <v>0</v>
      </c>
      <c r="I14" s="8">
        <v>1</v>
      </c>
      <c r="J14" s="8">
        <v>0</v>
      </c>
      <c r="K14" s="10">
        <v>4</v>
      </c>
      <c r="L14" s="11"/>
    </row>
    <row r="15" spans="1:12" ht="21.95" customHeight="1" x14ac:dyDescent="0.3">
      <c r="A15" s="8" t="s">
        <v>48</v>
      </c>
      <c r="B15" s="9" t="s">
        <v>63</v>
      </c>
      <c r="C15" s="8" t="s">
        <v>64</v>
      </c>
      <c r="D15" s="9"/>
      <c r="E15" s="8">
        <v>2</v>
      </c>
      <c r="F15" s="8">
        <v>3</v>
      </c>
      <c r="G15" s="8">
        <v>1</v>
      </c>
      <c r="H15" s="8">
        <v>0</v>
      </c>
      <c r="I15" s="8">
        <v>1</v>
      </c>
      <c r="J15" s="8">
        <v>0</v>
      </c>
      <c r="K15" s="10">
        <v>7</v>
      </c>
      <c r="L15" s="11"/>
    </row>
    <row r="16" spans="1:12" ht="21.95" customHeight="1" x14ac:dyDescent="0.3">
      <c r="A16" s="8" t="s">
        <v>48</v>
      </c>
      <c r="B16" s="9" t="s">
        <v>65</v>
      </c>
      <c r="C16" s="8" t="s">
        <v>66</v>
      </c>
      <c r="D16" s="9"/>
      <c r="E16" s="8">
        <v>1</v>
      </c>
      <c r="F16" s="8">
        <v>2</v>
      </c>
      <c r="G16" s="8">
        <v>0</v>
      </c>
      <c r="H16" s="8">
        <v>0</v>
      </c>
      <c r="I16" s="8">
        <v>1</v>
      </c>
      <c r="J16" s="8">
        <v>0</v>
      </c>
      <c r="K16" s="10">
        <v>4</v>
      </c>
      <c r="L16" s="11"/>
    </row>
    <row r="17" spans="1:12" ht="21.95" customHeight="1" x14ac:dyDescent="0.3">
      <c r="A17" s="8" t="s">
        <v>48</v>
      </c>
      <c r="B17" s="9" t="s">
        <v>67</v>
      </c>
      <c r="C17" s="8" t="s">
        <v>68</v>
      </c>
      <c r="D17" s="9"/>
      <c r="E17" s="8">
        <v>0</v>
      </c>
      <c r="F17" s="8">
        <v>1</v>
      </c>
      <c r="G17" s="8">
        <v>0</v>
      </c>
      <c r="H17" s="8">
        <v>0</v>
      </c>
      <c r="I17" s="8">
        <v>1</v>
      </c>
      <c r="J17" s="8">
        <v>0</v>
      </c>
      <c r="K17" s="10">
        <v>2</v>
      </c>
      <c r="L17" s="11"/>
    </row>
    <row r="18" spans="1:12" ht="21.95" customHeight="1" x14ac:dyDescent="0.3">
      <c r="A18" s="8" t="s">
        <v>48</v>
      </c>
      <c r="B18" s="9" t="s">
        <v>69</v>
      </c>
      <c r="C18" s="8" t="s">
        <v>70</v>
      </c>
      <c r="D18" s="9"/>
      <c r="E18" s="8">
        <v>0</v>
      </c>
      <c r="F18" s="8">
        <v>2</v>
      </c>
      <c r="G18" s="8">
        <v>0</v>
      </c>
      <c r="H18" s="8">
        <v>1</v>
      </c>
      <c r="I18" s="8">
        <v>1</v>
      </c>
      <c r="J18" s="8">
        <v>0</v>
      </c>
      <c r="K18" s="10">
        <v>4</v>
      </c>
      <c r="L18" s="11"/>
    </row>
    <row r="19" spans="1:12" ht="21.95" customHeight="1" x14ac:dyDescent="0.3">
      <c r="A19" s="8" t="s">
        <v>48</v>
      </c>
      <c r="B19" s="14" t="s">
        <v>71</v>
      </c>
      <c r="C19" s="8" t="s">
        <v>72</v>
      </c>
      <c r="D19" s="9"/>
      <c r="E19" s="8">
        <v>1</v>
      </c>
      <c r="F19" s="8">
        <v>2</v>
      </c>
      <c r="G19" s="8">
        <v>0</v>
      </c>
      <c r="H19" s="8">
        <v>0</v>
      </c>
      <c r="I19" s="8">
        <v>1</v>
      </c>
      <c r="J19" s="8">
        <v>0</v>
      </c>
      <c r="K19" s="10">
        <v>4</v>
      </c>
      <c r="L19" s="11"/>
    </row>
    <row r="20" spans="1:12" ht="21.95" customHeight="1" x14ac:dyDescent="0.3">
      <c r="A20" s="8" t="s">
        <v>48</v>
      </c>
      <c r="B20" s="9" t="s">
        <v>73</v>
      </c>
      <c r="C20" s="8" t="s">
        <v>74</v>
      </c>
      <c r="D20" s="9"/>
      <c r="E20" s="8">
        <v>1</v>
      </c>
      <c r="F20" s="8">
        <v>2</v>
      </c>
      <c r="G20" s="8">
        <v>0</v>
      </c>
      <c r="H20" s="8">
        <v>0</v>
      </c>
      <c r="I20" s="8">
        <v>0</v>
      </c>
      <c r="J20" s="8">
        <v>0</v>
      </c>
      <c r="K20" s="10">
        <v>3</v>
      </c>
    </row>
    <row r="21" spans="1:12" ht="33.950000000000003" customHeight="1" x14ac:dyDescent="0.3">
      <c r="A21" s="8" t="s">
        <v>48</v>
      </c>
      <c r="B21" s="9" t="s">
        <v>75</v>
      </c>
      <c r="C21" s="8" t="s">
        <v>54</v>
      </c>
      <c r="D21" s="9" t="s">
        <v>76</v>
      </c>
      <c r="E21" s="8">
        <v>1</v>
      </c>
      <c r="F21" s="8">
        <v>1</v>
      </c>
      <c r="G21" s="8">
        <v>0</v>
      </c>
      <c r="H21" s="8">
        <v>0</v>
      </c>
      <c r="I21" s="8">
        <v>0</v>
      </c>
      <c r="J21" s="8">
        <v>4</v>
      </c>
      <c r="K21" s="10">
        <v>6</v>
      </c>
    </row>
    <row r="22" spans="1:12" ht="18" customHeight="1" x14ac:dyDescent="0.3">
      <c r="A22" s="12" t="s">
        <v>77</v>
      </c>
      <c r="B22" s="13"/>
      <c r="C22" s="13"/>
      <c r="D22" s="13"/>
      <c r="E22" s="12">
        <f>SUM(E8:E21)</f>
        <v>16</v>
      </c>
      <c r="F22" s="12">
        <f>SUM(F8:F21)</f>
        <v>29</v>
      </c>
      <c r="G22" s="12">
        <f>SUM(G8:G21)</f>
        <v>2</v>
      </c>
      <c r="H22" s="12">
        <f>SUM(H8:H21)</f>
        <v>4</v>
      </c>
      <c r="I22" s="12">
        <f>SUM(I8:I21)</f>
        <v>11</v>
      </c>
      <c r="J22" s="12">
        <f>SUM(J8:J21)</f>
        <v>4</v>
      </c>
      <c r="K22" s="12">
        <f>SUM(K8:K21)</f>
        <v>66</v>
      </c>
      <c r="L22" s="13"/>
    </row>
    <row r="23" spans="1:12" ht="21.95" customHeight="1" x14ac:dyDescent="0.2"/>
    <row r="24" spans="1:12" ht="15.75" customHeight="1" x14ac:dyDescent="0.3">
      <c r="A24" s="8" t="s">
        <v>78</v>
      </c>
      <c r="B24" s="9" t="s">
        <v>79</v>
      </c>
      <c r="C24" s="8" t="s">
        <v>80</v>
      </c>
      <c r="D24" s="9"/>
      <c r="E24" s="8">
        <v>1</v>
      </c>
      <c r="F24" s="8">
        <v>1</v>
      </c>
      <c r="G24" s="8">
        <v>0</v>
      </c>
      <c r="H24" s="8">
        <v>0</v>
      </c>
      <c r="I24" s="8">
        <v>1</v>
      </c>
      <c r="J24" s="8">
        <v>0</v>
      </c>
      <c r="K24" s="10">
        <v>3</v>
      </c>
      <c r="L24" s="11"/>
    </row>
    <row r="25" spans="1:12" ht="15.75" customHeight="1" x14ac:dyDescent="0.3">
      <c r="A25" s="12" t="s">
        <v>81</v>
      </c>
      <c r="B25" s="13"/>
      <c r="C25" s="13"/>
      <c r="D25" s="13"/>
      <c r="E25" s="12">
        <f>SUM(E24:E24)</f>
        <v>1</v>
      </c>
      <c r="F25" s="12">
        <f>SUM(F24:F24)</f>
        <v>1</v>
      </c>
      <c r="G25" s="12">
        <f>SUM(G24:G24)</f>
        <v>0</v>
      </c>
      <c r="H25" s="12">
        <f>SUM(H24:H24)</f>
        <v>0</v>
      </c>
      <c r="I25" s="12">
        <f>SUM(I24:I24)</f>
        <v>1</v>
      </c>
      <c r="J25" s="12">
        <f>SUM(J24:J24)</f>
        <v>0</v>
      </c>
      <c r="K25" s="12">
        <f>SUM(K24:K24)</f>
        <v>3</v>
      </c>
      <c r="L25" s="13"/>
    </row>
    <row r="26" spans="1:12" ht="21.95" customHeight="1" x14ac:dyDescent="0.2"/>
    <row r="27" spans="1:12" ht="21.95" customHeight="1" x14ac:dyDescent="0.3">
      <c r="A27" s="15" t="s">
        <v>82</v>
      </c>
      <c r="B27" s="16" t="s">
        <v>83</v>
      </c>
      <c r="C27" s="15" t="s">
        <v>84</v>
      </c>
      <c r="D27" s="17" t="s">
        <v>85</v>
      </c>
      <c r="E27" s="11">
        <v>0</v>
      </c>
      <c r="F27" s="11">
        <v>2</v>
      </c>
      <c r="G27" s="11">
        <v>0</v>
      </c>
      <c r="H27" s="11">
        <v>0</v>
      </c>
      <c r="I27" s="11">
        <v>0</v>
      </c>
      <c r="J27" s="11">
        <v>2</v>
      </c>
      <c r="K27" s="10">
        <v>4</v>
      </c>
      <c r="L27" s="15" t="s">
        <v>86</v>
      </c>
    </row>
    <row r="28" spans="1:12" ht="15.75" customHeight="1" x14ac:dyDescent="0.3">
      <c r="A28" s="8" t="s">
        <v>82</v>
      </c>
      <c r="B28" s="9" t="s">
        <v>87</v>
      </c>
      <c r="C28" s="8" t="s">
        <v>62</v>
      </c>
      <c r="D28" s="9"/>
      <c r="E28" s="8">
        <v>1</v>
      </c>
      <c r="F28" s="8">
        <v>1</v>
      </c>
      <c r="G28" s="8">
        <v>0</v>
      </c>
      <c r="H28" s="8">
        <v>0</v>
      </c>
      <c r="I28" s="8">
        <v>0</v>
      </c>
      <c r="J28" s="8">
        <v>0</v>
      </c>
      <c r="K28" s="10">
        <v>2</v>
      </c>
      <c r="L28" s="11"/>
    </row>
    <row r="29" spans="1:12" ht="15.75" customHeight="1" x14ac:dyDescent="0.3">
      <c r="A29" s="12" t="s">
        <v>88</v>
      </c>
      <c r="B29" s="13"/>
      <c r="C29" s="13"/>
      <c r="D29" s="13"/>
      <c r="E29" s="12">
        <f>SUM(E27:E28)-E27</f>
        <v>1</v>
      </c>
      <c r="F29" s="12">
        <f>SUM(F27:F28)-F27</f>
        <v>1</v>
      </c>
      <c r="G29" s="12">
        <f>SUM(G27:G28)-G27</f>
        <v>0</v>
      </c>
      <c r="H29" s="12">
        <f>SUM(H27:H28)-H27</f>
        <v>0</v>
      </c>
      <c r="I29" s="12">
        <f>SUM(I27:I28)-I27</f>
        <v>0</v>
      </c>
      <c r="J29" s="12">
        <f>SUM(J27:J28)-J27</f>
        <v>0</v>
      </c>
      <c r="K29" s="12">
        <f>SUM(K27:K28)-K27</f>
        <v>2</v>
      </c>
      <c r="L29" s="13"/>
    </row>
    <row r="30" spans="1:12" ht="21.95" customHeight="1" x14ac:dyDescent="0.2"/>
    <row r="31" spans="1:12" ht="21.95" customHeight="1" x14ac:dyDescent="0.3">
      <c r="A31" s="8" t="s">
        <v>89</v>
      </c>
      <c r="B31" s="9" t="s">
        <v>90</v>
      </c>
      <c r="C31" s="8" t="s">
        <v>91</v>
      </c>
      <c r="D31" s="9"/>
      <c r="E31" s="8">
        <v>1</v>
      </c>
      <c r="F31" s="8">
        <v>1</v>
      </c>
      <c r="G31" s="8">
        <v>0</v>
      </c>
      <c r="H31" s="8">
        <v>1</v>
      </c>
      <c r="I31" s="8">
        <v>0</v>
      </c>
      <c r="J31" s="8">
        <v>0</v>
      </c>
      <c r="K31" s="10">
        <v>3</v>
      </c>
      <c r="L31" s="11"/>
    </row>
    <row r="32" spans="1:12" ht="21.95" customHeight="1" x14ac:dyDescent="0.3">
      <c r="A32" s="8" t="s">
        <v>89</v>
      </c>
      <c r="B32" s="9" t="s">
        <v>92</v>
      </c>
      <c r="C32" s="8" t="s">
        <v>93</v>
      </c>
      <c r="D32" s="9"/>
      <c r="E32" s="8">
        <v>1</v>
      </c>
      <c r="F32" s="8">
        <v>1</v>
      </c>
      <c r="G32" s="8">
        <v>0</v>
      </c>
      <c r="H32" s="8">
        <v>0</v>
      </c>
      <c r="I32" s="8">
        <v>0</v>
      </c>
      <c r="J32" s="8">
        <v>0</v>
      </c>
      <c r="K32" s="10">
        <v>2</v>
      </c>
      <c r="L32" s="11"/>
    </row>
    <row r="33" spans="1:12" ht="21.95" customHeight="1" x14ac:dyDescent="0.3">
      <c r="A33" s="8" t="s">
        <v>89</v>
      </c>
      <c r="B33" s="9" t="s">
        <v>94</v>
      </c>
      <c r="C33" s="8" t="s">
        <v>74</v>
      </c>
      <c r="D33" s="9"/>
      <c r="E33" s="8">
        <v>1</v>
      </c>
      <c r="F33" s="8">
        <v>1</v>
      </c>
      <c r="G33" s="8">
        <v>0</v>
      </c>
      <c r="H33" s="8">
        <v>0</v>
      </c>
      <c r="I33" s="8">
        <v>0</v>
      </c>
      <c r="J33" s="8">
        <v>0</v>
      </c>
      <c r="K33" s="10">
        <v>2</v>
      </c>
      <c r="L33" s="11"/>
    </row>
    <row r="34" spans="1:12" ht="21.95" customHeight="1" x14ac:dyDescent="0.3">
      <c r="A34" s="8" t="s">
        <v>89</v>
      </c>
      <c r="B34" s="9" t="s">
        <v>95</v>
      </c>
      <c r="C34" s="8" t="s">
        <v>96</v>
      </c>
      <c r="D34" s="9"/>
      <c r="E34" s="8">
        <v>1</v>
      </c>
      <c r="F34" s="8">
        <v>1</v>
      </c>
      <c r="G34" s="8">
        <v>0</v>
      </c>
      <c r="H34" s="8">
        <v>0</v>
      </c>
      <c r="I34" s="8">
        <v>2</v>
      </c>
      <c r="J34" s="8">
        <v>0</v>
      </c>
      <c r="K34" s="10">
        <v>4</v>
      </c>
      <c r="L34" s="11"/>
    </row>
    <row r="35" spans="1:12" ht="33.950000000000003" customHeight="1" x14ac:dyDescent="0.3">
      <c r="A35" s="8" t="s">
        <v>89</v>
      </c>
      <c r="B35" s="9" t="s">
        <v>97</v>
      </c>
      <c r="C35" s="8" t="s">
        <v>98</v>
      </c>
      <c r="D35" s="17"/>
      <c r="E35" s="8">
        <v>0</v>
      </c>
      <c r="F35" s="8">
        <v>2</v>
      </c>
      <c r="G35" s="8">
        <v>0</v>
      </c>
      <c r="H35" s="8">
        <v>0</v>
      </c>
      <c r="I35" s="8">
        <v>1</v>
      </c>
      <c r="J35" s="8">
        <v>0</v>
      </c>
      <c r="K35" s="10">
        <v>3</v>
      </c>
      <c r="L35" s="11"/>
    </row>
    <row r="36" spans="1:12" ht="21.95" customHeight="1" x14ac:dyDescent="0.3">
      <c r="A36" s="8" t="s">
        <v>89</v>
      </c>
      <c r="B36" s="9" t="s">
        <v>99</v>
      </c>
      <c r="C36" s="8" t="s">
        <v>70</v>
      </c>
      <c r="D36" s="9"/>
      <c r="E36" s="8">
        <v>1</v>
      </c>
      <c r="F36" s="8">
        <v>2</v>
      </c>
      <c r="G36" s="8">
        <v>0</v>
      </c>
      <c r="H36" s="8">
        <v>0</v>
      </c>
      <c r="I36" s="8">
        <v>2</v>
      </c>
      <c r="J36" s="8">
        <v>0</v>
      </c>
      <c r="K36" s="10">
        <v>5</v>
      </c>
      <c r="L36" s="11"/>
    </row>
    <row r="37" spans="1:12" ht="30" customHeight="1" x14ac:dyDescent="0.3">
      <c r="A37" s="8" t="s">
        <v>89</v>
      </c>
      <c r="B37" s="9" t="s">
        <v>100</v>
      </c>
      <c r="C37" s="8" t="s">
        <v>101</v>
      </c>
      <c r="D37" s="9"/>
      <c r="E37" s="8">
        <v>1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10">
        <v>2</v>
      </c>
      <c r="L37" s="11"/>
    </row>
    <row r="38" spans="1:12" ht="15.75" customHeight="1" x14ac:dyDescent="0.3">
      <c r="A38" s="8" t="s">
        <v>89</v>
      </c>
      <c r="B38" s="9" t="s">
        <v>102</v>
      </c>
      <c r="C38" s="8" t="s">
        <v>103</v>
      </c>
      <c r="D38" s="9" t="s">
        <v>104</v>
      </c>
      <c r="E38" s="8">
        <v>1</v>
      </c>
      <c r="F38" s="8">
        <v>1</v>
      </c>
      <c r="G38" s="8">
        <v>0</v>
      </c>
      <c r="H38" s="8">
        <v>0</v>
      </c>
      <c r="I38" s="8">
        <v>0</v>
      </c>
      <c r="J38" s="8">
        <v>2</v>
      </c>
      <c r="K38" s="10">
        <v>4</v>
      </c>
      <c r="L38" s="11"/>
    </row>
    <row r="39" spans="1:12" ht="21.95" customHeight="1" x14ac:dyDescent="0.3">
      <c r="A39" s="12" t="s">
        <v>105</v>
      </c>
      <c r="B39" s="13"/>
      <c r="C39" s="13"/>
      <c r="D39" s="13"/>
      <c r="E39" s="12">
        <f>SUM(E31:E38)</f>
        <v>7</v>
      </c>
      <c r="F39" s="12">
        <f>SUM(F31:F38)</f>
        <v>10</v>
      </c>
      <c r="G39" s="12">
        <f>SUM(G31:G38)</f>
        <v>0</v>
      </c>
      <c r="H39" s="12">
        <f>SUM(H31:H38)</f>
        <v>1</v>
      </c>
      <c r="I39" s="12">
        <f>SUM(I31:I38)</f>
        <v>5</v>
      </c>
      <c r="J39" s="12">
        <f>SUM(J31:J38)</f>
        <v>2</v>
      </c>
      <c r="K39" s="12">
        <f>SUM(K31:K38)</f>
        <v>25</v>
      </c>
      <c r="L39" s="13"/>
    </row>
    <row r="40" spans="1:12" ht="21.95" customHeight="1" x14ac:dyDescent="0.2"/>
    <row r="41" spans="1:12" ht="21.95" customHeight="1" x14ac:dyDescent="0.3">
      <c r="A41" s="8" t="s">
        <v>106</v>
      </c>
      <c r="B41" s="9" t="s">
        <v>107</v>
      </c>
      <c r="C41" s="8" t="s">
        <v>108</v>
      </c>
      <c r="D41" s="9"/>
      <c r="E41" s="8">
        <v>2</v>
      </c>
      <c r="F41" s="8">
        <v>3</v>
      </c>
      <c r="G41" s="8">
        <v>1</v>
      </c>
      <c r="H41" s="8">
        <v>0</v>
      </c>
      <c r="I41" s="8">
        <v>1</v>
      </c>
      <c r="J41" s="8">
        <v>0</v>
      </c>
      <c r="K41" s="10">
        <v>7</v>
      </c>
      <c r="L41" s="11"/>
    </row>
    <row r="42" spans="1:12" ht="21.95" customHeight="1" x14ac:dyDescent="0.3">
      <c r="A42" s="8" t="s">
        <v>106</v>
      </c>
      <c r="B42" s="9" t="s">
        <v>109</v>
      </c>
      <c r="C42" s="8" t="s">
        <v>110</v>
      </c>
      <c r="D42" s="17" t="s">
        <v>111</v>
      </c>
      <c r="E42" s="8">
        <v>3</v>
      </c>
      <c r="F42" s="8">
        <v>4</v>
      </c>
      <c r="G42" s="8">
        <v>0</v>
      </c>
      <c r="H42" s="8">
        <v>0</v>
      </c>
      <c r="I42" s="8">
        <v>1</v>
      </c>
      <c r="J42" s="8">
        <v>0</v>
      </c>
      <c r="K42" s="10">
        <v>8</v>
      </c>
      <c r="L42" s="11"/>
    </row>
    <row r="43" spans="1:12" ht="33.950000000000003" customHeight="1" x14ac:dyDescent="0.3">
      <c r="A43" s="8" t="s">
        <v>106</v>
      </c>
      <c r="B43" s="9" t="s">
        <v>112</v>
      </c>
      <c r="C43" s="8" t="s">
        <v>70</v>
      </c>
      <c r="D43" s="17" t="s">
        <v>113</v>
      </c>
      <c r="E43" s="8">
        <v>1</v>
      </c>
      <c r="F43" s="8">
        <v>1</v>
      </c>
      <c r="G43" s="8">
        <v>0</v>
      </c>
      <c r="H43" s="8">
        <v>0</v>
      </c>
      <c r="I43" s="8">
        <v>0</v>
      </c>
      <c r="J43" s="8">
        <v>0</v>
      </c>
      <c r="K43" s="10">
        <v>2</v>
      </c>
      <c r="L43" s="11"/>
    </row>
    <row r="44" spans="1:12" ht="21.95" customHeight="1" x14ac:dyDescent="0.3">
      <c r="A44" s="8" t="s">
        <v>106</v>
      </c>
      <c r="B44" s="9" t="s">
        <v>114</v>
      </c>
      <c r="C44" s="8" t="s">
        <v>115</v>
      </c>
      <c r="D44" s="9"/>
      <c r="E44" s="8">
        <v>1</v>
      </c>
      <c r="F44" s="8">
        <v>2</v>
      </c>
      <c r="G44" s="8">
        <v>1</v>
      </c>
      <c r="H44" s="8">
        <v>1</v>
      </c>
      <c r="I44" s="8">
        <v>1</v>
      </c>
      <c r="J44" s="8">
        <v>0</v>
      </c>
      <c r="K44" s="10">
        <v>6</v>
      </c>
      <c r="L44" s="11"/>
    </row>
    <row r="45" spans="1:12" ht="33.950000000000003" customHeight="1" x14ac:dyDescent="0.3">
      <c r="A45" s="8" t="s">
        <v>106</v>
      </c>
      <c r="B45" s="9" t="s">
        <v>116</v>
      </c>
      <c r="C45" s="8" t="s">
        <v>52</v>
      </c>
      <c r="D45" s="9"/>
      <c r="E45" s="8">
        <v>1</v>
      </c>
      <c r="F45" s="8">
        <v>3</v>
      </c>
      <c r="G45" s="8">
        <v>0</v>
      </c>
      <c r="H45" s="8">
        <v>0</v>
      </c>
      <c r="I45" s="8">
        <v>1</v>
      </c>
      <c r="J45" s="8">
        <v>0</v>
      </c>
      <c r="K45" s="10">
        <v>5</v>
      </c>
      <c r="L45" s="11"/>
    </row>
    <row r="46" spans="1:12" ht="33.950000000000003" customHeight="1" x14ac:dyDescent="0.3">
      <c r="A46" s="8" t="s">
        <v>106</v>
      </c>
      <c r="B46" s="9" t="s">
        <v>117</v>
      </c>
      <c r="C46" s="8" t="s">
        <v>118</v>
      </c>
      <c r="D46" s="9"/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10">
        <v>1</v>
      </c>
      <c r="L46" s="11"/>
    </row>
    <row r="47" spans="1:12" ht="15.75" customHeight="1" x14ac:dyDescent="0.3">
      <c r="A47" s="8" t="s">
        <v>106</v>
      </c>
      <c r="B47" s="9" t="s">
        <v>119</v>
      </c>
      <c r="C47" s="8" t="s">
        <v>115</v>
      </c>
      <c r="D47" s="9"/>
      <c r="E47" s="8">
        <v>1</v>
      </c>
      <c r="F47" s="8">
        <v>2</v>
      </c>
      <c r="G47" s="8">
        <v>0</v>
      </c>
      <c r="H47" s="8">
        <v>0</v>
      </c>
      <c r="I47" s="8">
        <v>1</v>
      </c>
      <c r="J47" s="8">
        <v>0</v>
      </c>
      <c r="K47" s="10">
        <v>4</v>
      </c>
      <c r="L47" s="11"/>
    </row>
    <row r="48" spans="1:12" ht="15.75" customHeight="1" x14ac:dyDescent="0.3">
      <c r="A48" s="8" t="s">
        <v>106</v>
      </c>
      <c r="B48" s="9" t="s">
        <v>120</v>
      </c>
      <c r="C48" s="8" t="s">
        <v>50</v>
      </c>
      <c r="D48" s="9"/>
      <c r="E48" s="8">
        <v>1</v>
      </c>
      <c r="F48" s="8">
        <v>2</v>
      </c>
      <c r="G48" s="8">
        <v>0</v>
      </c>
      <c r="H48" s="8">
        <v>0</v>
      </c>
      <c r="I48" s="8">
        <v>1</v>
      </c>
      <c r="J48" s="8">
        <v>0</v>
      </c>
      <c r="K48" s="10">
        <v>4</v>
      </c>
    </row>
    <row r="49" spans="1:12" ht="21.95" customHeight="1" x14ac:dyDescent="0.3">
      <c r="A49" s="12" t="s">
        <v>121</v>
      </c>
      <c r="B49" s="13"/>
      <c r="C49" s="13"/>
      <c r="D49" s="13"/>
      <c r="E49" s="12">
        <f>SUM(E41:E48)</f>
        <v>11</v>
      </c>
      <c r="F49" s="12">
        <f>SUM(F41:F48)</f>
        <v>17</v>
      </c>
      <c r="G49" s="12">
        <f>SUM(G41:G48)</f>
        <v>2</v>
      </c>
      <c r="H49" s="12">
        <f>SUM(H41:H48)</f>
        <v>1</v>
      </c>
      <c r="I49" s="12">
        <f>SUM(I41:I48)</f>
        <v>6</v>
      </c>
      <c r="J49" s="12">
        <f>SUM(J41:J48)</f>
        <v>0</v>
      </c>
      <c r="K49" s="12">
        <f>SUM(K41:K48)</f>
        <v>37</v>
      </c>
      <c r="L49" s="13"/>
    </row>
    <row r="50" spans="1:12" ht="21.95" customHeight="1" x14ac:dyDescent="0.2"/>
    <row r="51" spans="1:12" ht="21.95" customHeight="1" x14ac:dyDescent="0.3">
      <c r="A51" s="8" t="s">
        <v>122</v>
      </c>
      <c r="B51" s="9" t="s">
        <v>123</v>
      </c>
      <c r="C51" s="8" t="s">
        <v>103</v>
      </c>
      <c r="D51" s="9"/>
      <c r="E51" s="8">
        <v>1</v>
      </c>
      <c r="F51" s="8">
        <v>2</v>
      </c>
      <c r="G51" s="8">
        <v>0</v>
      </c>
      <c r="H51" s="8">
        <v>0</v>
      </c>
      <c r="I51" s="8">
        <v>1</v>
      </c>
      <c r="J51" s="8">
        <v>0</v>
      </c>
      <c r="K51" s="10">
        <v>4</v>
      </c>
      <c r="L51" s="11"/>
    </row>
    <row r="52" spans="1:12" ht="21.95" customHeight="1" x14ac:dyDescent="0.3">
      <c r="A52" s="8" t="s">
        <v>122</v>
      </c>
      <c r="B52" s="9" t="s">
        <v>124</v>
      </c>
      <c r="C52" s="8" t="s">
        <v>115</v>
      </c>
      <c r="D52" s="9"/>
      <c r="E52" s="8">
        <v>2</v>
      </c>
      <c r="F52" s="8">
        <v>1</v>
      </c>
      <c r="G52" s="8">
        <v>0</v>
      </c>
      <c r="H52" s="8">
        <v>1</v>
      </c>
      <c r="I52" s="8">
        <v>0</v>
      </c>
      <c r="J52" s="8">
        <v>0</v>
      </c>
      <c r="K52" s="10">
        <v>4</v>
      </c>
      <c r="L52" s="11"/>
    </row>
    <row r="53" spans="1:12" ht="21.95" customHeight="1" x14ac:dyDescent="0.3">
      <c r="A53" s="8" t="s">
        <v>122</v>
      </c>
      <c r="B53" s="9" t="s">
        <v>125</v>
      </c>
      <c r="C53" s="8" t="s">
        <v>126</v>
      </c>
      <c r="D53" s="9"/>
      <c r="E53" s="8">
        <v>1</v>
      </c>
      <c r="F53" s="8">
        <v>2</v>
      </c>
      <c r="G53" s="8">
        <v>0</v>
      </c>
      <c r="H53" s="8">
        <v>0</v>
      </c>
      <c r="I53" s="8">
        <v>1</v>
      </c>
      <c r="J53" s="8">
        <v>0</v>
      </c>
      <c r="K53" s="10">
        <v>4</v>
      </c>
      <c r="L53" s="11"/>
    </row>
    <row r="54" spans="1:12" ht="21.95" customHeight="1" x14ac:dyDescent="0.3">
      <c r="A54" s="15" t="s">
        <v>122</v>
      </c>
      <c r="B54" s="16" t="s">
        <v>127</v>
      </c>
      <c r="C54" s="15" t="s">
        <v>84</v>
      </c>
      <c r="D54" s="17" t="s">
        <v>85</v>
      </c>
      <c r="E54" s="11">
        <v>0</v>
      </c>
      <c r="F54" s="11">
        <v>3</v>
      </c>
      <c r="G54" s="11">
        <v>0</v>
      </c>
      <c r="H54" s="11">
        <v>1</v>
      </c>
      <c r="I54" s="11">
        <v>1</v>
      </c>
      <c r="J54" s="11">
        <v>0</v>
      </c>
      <c r="K54" s="10">
        <v>5</v>
      </c>
      <c r="L54" s="15" t="s">
        <v>86</v>
      </c>
    </row>
    <row r="55" spans="1:12" ht="21.95" customHeight="1" x14ac:dyDescent="0.3">
      <c r="A55" s="8" t="s">
        <v>122</v>
      </c>
      <c r="B55" s="9" t="s">
        <v>128</v>
      </c>
      <c r="C55" s="8" t="s">
        <v>118</v>
      </c>
      <c r="D55" s="17" t="s">
        <v>129</v>
      </c>
      <c r="E55" s="8">
        <v>0</v>
      </c>
      <c r="F55" s="8">
        <v>1</v>
      </c>
      <c r="G55" s="8">
        <v>0</v>
      </c>
      <c r="H55" s="8">
        <v>1</v>
      </c>
      <c r="I55" s="8">
        <v>0</v>
      </c>
      <c r="J55" s="8">
        <v>0</v>
      </c>
      <c r="K55" s="10">
        <v>2</v>
      </c>
      <c r="L55" s="11"/>
    </row>
    <row r="56" spans="1:12" ht="21.95" customHeight="1" x14ac:dyDescent="0.3">
      <c r="A56" s="8" t="s">
        <v>122</v>
      </c>
      <c r="B56" s="9" t="s">
        <v>130</v>
      </c>
      <c r="C56" s="8" t="s">
        <v>131</v>
      </c>
      <c r="D56" s="9"/>
      <c r="E56" s="8">
        <v>0</v>
      </c>
      <c r="F56" s="8">
        <v>1</v>
      </c>
      <c r="G56" s="8">
        <v>0</v>
      </c>
      <c r="H56" s="8">
        <v>0</v>
      </c>
      <c r="I56" s="8">
        <v>0</v>
      </c>
      <c r="J56" s="8">
        <v>0</v>
      </c>
      <c r="K56" s="10">
        <v>1</v>
      </c>
      <c r="L56" s="11"/>
    </row>
    <row r="57" spans="1:12" ht="21.95" customHeight="1" x14ac:dyDescent="0.3">
      <c r="A57" s="8" t="s">
        <v>122</v>
      </c>
      <c r="B57" s="9" t="s">
        <v>132</v>
      </c>
      <c r="C57" s="8" t="s">
        <v>126</v>
      </c>
      <c r="D57" s="9"/>
      <c r="E57" s="8">
        <v>1</v>
      </c>
      <c r="F57" s="8">
        <v>2</v>
      </c>
      <c r="G57" s="8">
        <v>0</v>
      </c>
      <c r="H57" s="8">
        <v>1</v>
      </c>
      <c r="I57" s="8">
        <v>0</v>
      </c>
      <c r="J57" s="8">
        <v>0</v>
      </c>
      <c r="K57" s="10">
        <v>4</v>
      </c>
      <c r="L57" s="11"/>
    </row>
    <row r="58" spans="1:12" ht="18" customHeight="1" x14ac:dyDescent="0.3">
      <c r="A58" s="8" t="s">
        <v>122</v>
      </c>
      <c r="B58" s="9" t="s">
        <v>133</v>
      </c>
      <c r="C58" s="8" t="s">
        <v>58</v>
      </c>
      <c r="D58" s="9"/>
      <c r="E58" s="8">
        <v>2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10">
        <v>3</v>
      </c>
    </row>
    <row r="59" spans="1:12" ht="16.5" x14ac:dyDescent="0.3">
      <c r="A59" s="8" t="s">
        <v>122</v>
      </c>
      <c r="B59" s="9" t="s">
        <v>134</v>
      </c>
      <c r="C59" s="8" t="s">
        <v>135</v>
      </c>
      <c r="D59" s="9"/>
      <c r="E59" s="8">
        <v>1</v>
      </c>
      <c r="F59" s="8">
        <v>2</v>
      </c>
      <c r="G59" s="8">
        <v>1</v>
      </c>
      <c r="H59" s="8">
        <v>0</v>
      </c>
      <c r="I59" s="8">
        <v>0</v>
      </c>
      <c r="J59" s="8">
        <v>0</v>
      </c>
      <c r="K59" s="10">
        <v>4</v>
      </c>
    </row>
    <row r="60" spans="1:12" ht="33.950000000000003" customHeight="1" x14ac:dyDescent="0.3">
      <c r="A60" s="8" t="s">
        <v>122</v>
      </c>
      <c r="B60" s="9" t="s">
        <v>136</v>
      </c>
      <c r="C60" s="8" t="s">
        <v>103</v>
      </c>
      <c r="D60" s="9" t="s">
        <v>137</v>
      </c>
      <c r="E60" s="8">
        <v>1</v>
      </c>
      <c r="F60" s="8">
        <v>0</v>
      </c>
      <c r="G60" s="8">
        <v>0</v>
      </c>
      <c r="H60" s="8">
        <v>0</v>
      </c>
      <c r="I60" s="8">
        <v>1</v>
      </c>
      <c r="J60" s="8">
        <v>3</v>
      </c>
      <c r="K60" s="10">
        <v>5</v>
      </c>
    </row>
    <row r="61" spans="1:12" ht="21.95" customHeight="1" x14ac:dyDescent="0.3">
      <c r="A61" s="12" t="s">
        <v>138</v>
      </c>
      <c r="B61" s="13"/>
      <c r="C61" s="13"/>
      <c r="D61" s="13"/>
      <c r="E61" s="12">
        <f>SUM(E51:E60)-E54</f>
        <v>9</v>
      </c>
      <c r="F61" s="12">
        <f>SUM(F51:F60)-F54</f>
        <v>12</v>
      </c>
      <c r="G61" s="12">
        <f>SUM(G51:G60)-G54</f>
        <v>1</v>
      </c>
      <c r="H61" s="12">
        <f>SUM(H51:H60)-H54</f>
        <v>3</v>
      </c>
      <c r="I61" s="12">
        <f>SUM(I51:I60)-I54</f>
        <v>3</v>
      </c>
      <c r="J61" s="12">
        <f>SUM(J51:J60)-J54</f>
        <v>3</v>
      </c>
      <c r="K61" s="12">
        <f>SUM(K51:K60)-K54</f>
        <v>31</v>
      </c>
      <c r="L61" s="13"/>
    </row>
    <row r="62" spans="1:12" ht="21.95" customHeight="1" x14ac:dyDescent="0.2"/>
    <row r="63" spans="1:12" ht="21.95" customHeight="1" x14ac:dyDescent="0.3">
      <c r="A63" s="8" t="s">
        <v>139</v>
      </c>
      <c r="B63" s="9" t="s">
        <v>140</v>
      </c>
      <c r="C63" s="8" t="s">
        <v>141</v>
      </c>
      <c r="D63" s="9"/>
      <c r="E63" s="8">
        <v>1</v>
      </c>
      <c r="F63" s="8">
        <v>2</v>
      </c>
      <c r="G63" s="8">
        <v>0</v>
      </c>
      <c r="H63" s="8">
        <v>0</v>
      </c>
      <c r="I63" s="8">
        <v>2</v>
      </c>
      <c r="J63" s="8">
        <v>0</v>
      </c>
      <c r="K63" s="10">
        <v>5</v>
      </c>
      <c r="L63" s="11"/>
    </row>
    <row r="64" spans="1:12" ht="16.5" x14ac:dyDescent="0.3">
      <c r="A64" s="8" t="s">
        <v>139</v>
      </c>
      <c r="B64" s="9" t="s">
        <v>142</v>
      </c>
      <c r="C64" s="8" t="s">
        <v>126</v>
      </c>
      <c r="D64" s="9"/>
      <c r="E64" s="8">
        <v>1</v>
      </c>
      <c r="F64" s="8">
        <v>2</v>
      </c>
      <c r="G64" s="8">
        <v>1</v>
      </c>
      <c r="H64" s="8">
        <v>0</v>
      </c>
      <c r="I64" s="8">
        <v>0</v>
      </c>
      <c r="J64" s="8">
        <v>0</v>
      </c>
      <c r="K64" s="10">
        <v>4</v>
      </c>
      <c r="L64" s="11"/>
    </row>
    <row r="65" spans="1:12" ht="16.5" x14ac:dyDescent="0.3">
      <c r="A65" s="8" t="s">
        <v>139</v>
      </c>
      <c r="B65" s="9" t="s">
        <v>143</v>
      </c>
      <c r="C65" s="8" t="s">
        <v>144</v>
      </c>
      <c r="D65" s="9"/>
      <c r="E65" s="8">
        <v>1</v>
      </c>
      <c r="F65" s="8">
        <v>1</v>
      </c>
      <c r="G65" s="8">
        <v>0</v>
      </c>
      <c r="H65" s="8">
        <v>0</v>
      </c>
      <c r="I65" s="8">
        <v>2</v>
      </c>
      <c r="J65" s="8">
        <v>0</v>
      </c>
      <c r="K65" s="10">
        <v>4</v>
      </c>
      <c r="L65" s="11"/>
    </row>
    <row r="66" spans="1:12" ht="16.5" x14ac:dyDescent="0.3">
      <c r="A66" s="8" t="s">
        <v>139</v>
      </c>
      <c r="B66" s="9" t="s">
        <v>145</v>
      </c>
      <c r="C66" s="8" t="s">
        <v>146</v>
      </c>
      <c r="D66" s="9"/>
      <c r="E66" s="8">
        <v>1</v>
      </c>
      <c r="F66" s="8">
        <v>1</v>
      </c>
      <c r="G66" s="8">
        <v>0</v>
      </c>
      <c r="H66" s="8">
        <v>0</v>
      </c>
      <c r="I66" s="8">
        <v>1</v>
      </c>
      <c r="J66" s="8">
        <v>0</v>
      </c>
      <c r="K66" s="10">
        <v>3</v>
      </c>
      <c r="L66" s="11"/>
    </row>
    <row r="67" spans="1:12" ht="30" customHeight="1" x14ac:dyDescent="0.3">
      <c r="A67" s="8" t="s">
        <v>139</v>
      </c>
      <c r="B67" s="9" t="s">
        <v>147</v>
      </c>
      <c r="C67" s="8" t="s">
        <v>148</v>
      </c>
      <c r="D67" s="9" t="s">
        <v>149</v>
      </c>
      <c r="E67" s="8">
        <v>1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10">
        <v>1</v>
      </c>
      <c r="L67" s="11"/>
    </row>
    <row r="68" spans="1:12" ht="30" x14ac:dyDescent="0.3">
      <c r="A68" s="12" t="s">
        <v>150</v>
      </c>
      <c r="B68" s="13"/>
      <c r="C68" s="13"/>
      <c r="D68" s="13"/>
      <c r="E68" s="12">
        <f>SUM(E63:E67)</f>
        <v>5</v>
      </c>
      <c r="F68" s="12">
        <f>SUM(F63:F67)</f>
        <v>6</v>
      </c>
      <c r="G68" s="12">
        <f>SUM(G63:G67)</f>
        <v>1</v>
      </c>
      <c r="H68" s="12">
        <f>SUM(H63:H67)</f>
        <v>0</v>
      </c>
      <c r="I68" s="12">
        <f>SUM(I63:I67)</f>
        <v>5</v>
      </c>
      <c r="J68" s="12">
        <f>SUM(J63:J67)</f>
        <v>0</v>
      </c>
      <c r="K68" s="12">
        <f>SUM(K63:K67)</f>
        <v>17</v>
      </c>
      <c r="L68" s="13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tabSelected="1" zoomScaleNormal="100" workbookViewId="0"/>
  </sheetViews>
  <sheetFormatPr defaultColWidth="8.7421875" defaultRowHeight="15" x14ac:dyDescent="0.2"/>
  <cols>
    <col min="1" max="1" width="13.98828125" customWidth="1"/>
    <col min="2" max="16" width="9.01171875" customWidth="1"/>
  </cols>
  <sheetData>
    <row r="1" spans="1:15" ht="20.100000000000001" customHeight="1" x14ac:dyDescent="0.2">
      <c r="A1" s="28" t="s">
        <v>0</v>
      </c>
      <c r="B1" s="29"/>
      <c r="C1" s="29"/>
      <c r="D1" s="29"/>
      <c r="E1" s="29"/>
      <c r="F1" s="29"/>
      <c r="G1" s="29"/>
      <c r="H1" s="29"/>
    </row>
    <row r="2" spans="1:15" ht="16.5" customHeight="1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1" t="s">
        <v>8</v>
      </c>
      <c r="I2" s="1" t="s">
        <v>9</v>
      </c>
    </row>
    <row r="3" spans="1:15" ht="16.5" customHeight="1" x14ac:dyDescent="0.3">
      <c r="A3" s="18" t="s">
        <v>10</v>
      </c>
      <c r="B3" s="10">
        <v>53</v>
      </c>
      <c r="C3" s="10">
        <v>79</v>
      </c>
      <c r="D3" s="10">
        <v>6</v>
      </c>
      <c r="E3" s="10">
        <v>9</v>
      </c>
      <c r="F3" s="10">
        <v>33</v>
      </c>
      <c r="G3" s="10">
        <v>9</v>
      </c>
      <c r="H3" s="10">
        <v>189</v>
      </c>
      <c r="I3" s="10" t="s">
        <v>11</v>
      </c>
    </row>
    <row r="4" spans="1:15" ht="16.5" customHeight="1" x14ac:dyDescent="0.3">
      <c r="A4" s="19" t="s">
        <v>9</v>
      </c>
      <c r="B4" s="26">
        <v>0.28042328042328041</v>
      </c>
      <c r="C4" s="26">
        <v>0.41798941798941802</v>
      </c>
      <c r="D4" s="26">
        <v>3.1746031746031737E-2</v>
      </c>
      <c r="E4" s="26">
        <v>4.7619047619047623E-2</v>
      </c>
      <c r="F4" s="26">
        <v>0.17460317460317459</v>
      </c>
      <c r="G4" s="26">
        <v>4.7619047619047623E-2</v>
      </c>
    </row>
    <row r="6" spans="1:15" ht="17.100000000000001" customHeight="1" x14ac:dyDescent="0.2">
      <c r="A6" s="30" t="s">
        <v>12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9.5" customHeight="1" x14ac:dyDescent="0.3">
      <c r="A7" s="1" t="s">
        <v>13</v>
      </c>
      <c r="B7" s="2" t="s">
        <v>14</v>
      </c>
      <c r="C7" s="3" t="s">
        <v>15</v>
      </c>
      <c r="D7" s="4" t="s">
        <v>16</v>
      </c>
      <c r="E7" s="5" t="s">
        <v>17</v>
      </c>
      <c r="F7" s="6" t="s">
        <v>18</v>
      </c>
      <c r="G7" s="7" t="s">
        <v>19</v>
      </c>
      <c r="H7" s="20" t="s">
        <v>20</v>
      </c>
      <c r="I7" s="21" t="s">
        <v>21</v>
      </c>
      <c r="J7" s="22" t="s">
        <v>22</v>
      </c>
      <c r="K7" s="23" t="s">
        <v>23</v>
      </c>
      <c r="L7" s="24" t="s">
        <v>24</v>
      </c>
      <c r="M7" s="25" t="s">
        <v>25</v>
      </c>
      <c r="N7" s="1" t="s">
        <v>8</v>
      </c>
      <c r="O7" s="1" t="s">
        <v>26</v>
      </c>
    </row>
    <row r="8" spans="1:15" ht="16.5" customHeight="1" x14ac:dyDescent="0.3">
      <c r="A8" s="8" t="s">
        <v>27</v>
      </c>
      <c r="B8" s="8">
        <v>3</v>
      </c>
      <c r="C8" s="8">
        <v>3</v>
      </c>
      <c r="D8" s="8">
        <v>0</v>
      </c>
      <c r="E8" s="8">
        <v>0</v>
      </c>
      <c r="F8" s="8">
        <v>2</v>
      </c>
      <c r="G8" s="8">
        <v>0</v>
      </c>
      <c r="H8" s="26">
        <v>0.375</v>
      </c>
      <c r="I8" s="26">
        <v>0.375</v>
      </c>
      <c r="J8" s="26">
        <v>0</v>
      </c>
      <c r="K8" s="26">
        <v>0</v>
      </c>
      <c r="L8" s="26">
        <v>0.25</v>
      </c>
      <c r="M8" s="26">
        <v>0</v>
      </c>
      <c r="N8" s="10">
        <v>8</v>
      </c>
      <c r="O8" s="8">
        <v>3</v>
      </c>
    </row>
    <row r="9" spans="1:15" ht="16.5" customHeight="1" x14ac:dyDescent="0.3">
      <c r="A9" s="8" t="s">
        <v>28</v>
      </c>
      <c r="B9" s="8">
        <v>16</v>
      </c>
      <c r="C9" s="8">
        <v>29</v>
      </c>
      <c r="D9" s="8">
        <v>2</v>
      </c>
      <c r="E9" s="8">
        <v>4</v>
      </c>
      <c r="F9" s="8">
        <v>11</v>
      </c>
      <c r="G9" s="8">
        <v>4</v>
      </c>
      <c r="H9" s="26">
        <v>0.2424242424242424</v>
      </c>
      <c r="I9" s="26">
        <v>0.43939393939393939</v>
      </c>
      <c r="J9" s="26">
        <v>3.03030303030303E-2</v>
      </c>
      <c r="K9" s="26">
        <v>6.0606060606060608E-2</v>
      </c>
      <c r="L9" s="26">
        <v>0.16666666666666671</v>
      </c>
      <c r="M9" s="26">
        <v>6.0606060606060608E-2</v>
      </c>
      <c r="N9" s="10">
        <v>66</v>
      </c>
      <c r="O9" s="8">
        <v>14</v>
      </c>
    </row>
    <row r="10" spans="1:15" ht="16.5" customHeight="1" x14ac:dyDescent="0.3">
      <c r="A10" s="8" t="s">
        <v>29</v>
      </c>
      <c r="B10" s="8">
        <v>1</v>
      </c>
      <c r="C10" s="8">
        <v>1</v>
      </c>
      <c r="D10" s="8">
        <v>0</v>
      </c>
      <c r="E10" s="8">
        <v>0</v>
      </c>
      <c r="F10" s="8">
        <v>1</v>
      </c>
      <c r="G10" s="8">
        <v>0</v>
      </c>
      <c r="H10" s="26">
        <v>0.33333333333333298</v>
      </c>
      <c r="I10" s="26">
        <v>0.33333333333333298</v>
      </c>
      <c r="J10" s="26">
        <v>0</v>
      </c>
      <c r="K10" s="26">
        <v>0</v>
      </c>
      <c r="L10" s="26">
        <v>0.33333333333333298</v>
      </c>
      <c r="M10" s="26">
        <v>0</v>
      </c>
      <c r="N10" s="10">
        <v>3</v>
      </c>
      <c r="O10" s="8">
        <v>1</v>
      </c>
    </row>
    <row r="11" spans="1:15" ht="16.5" customHeight="1" x14ac:dyDescent="0.3">
      <c r="A11" s="8" t="s">
        <v>30</v>
      </c>
      <c r="B11" s="8">
        <v>1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26">
        <v>0.5</v>
      </c>
      <c r="I11" s="26">
        <v>0.5</v>
      </c>
      <c r="J11" s="26">
        <v>0</v>
      </c>
      <c r="K11" s="26">
        <v>0</v>
      </c>
      <c r="L11" s="26">
        <v>0</v>
      </c>
      <c r="M11" s="26">
        <v>0</v>
      </c>
      <c r="N11" s="10">
        <v>2</v>
      </c>
      <c r="O11" s="8">
        <v>2</v>
      </c>
    </row>
    <row r="12" spans="1:15" ht="16.5" customHeight="1" x14ac:dyDescent="0.3">
      <c r="A12" s="8" t="s">
        <v>31</v>
      </c>
      <c r="B12" s="8">
        <v>7</v>
      </c>
      <c r="C12" s="8">
        <v>10</v>
      </c>
      <c r="D12" s="8">
        <v>0</v>
      </c>
      <c r="E12" s="8">
        <v>1</v>
      </c>
      <c r="F12" s="8">
        <v>5</v>
      </c>
      <c r="G12" s="8">
        <v>2</v>
      </c>
      <c r="H12" s="26">
        <v>0.28000000000000003</v>
      </c>
      <c r="I12" s="26">
        <v>0.4</v>
      </c>
      <c r="J12" s="26">
        <v>0</v>
      </c>
      <c r="K12" s="26">
        <v>0.04</v>
      </c>
      <c r="L12" s="26">
        <v>0.2</v>
      </c>
      <c r="M12" s="26">
        <v>0.08</v>
      </c>
      <c r="N12" s="10">
        <v>25</v>
      </c>
      <c r="O12" s="8">
        <v>8</v>
      </c>
    </row>
    <row r="13" spans="1:15" ht="16.5" customHeight="1" x14ac:dyDescent="0.3">
      <c r="A13" s="8" t="s">
        <v>32</v>
      </c>
      <c r="B13" s="8">
        <v>11</v>
      </c>
      <c r="C13" s="8">
        <v>17</v>
      </c>
      <c r="D13" s="8">
        <v>2</v>
      </c>
      <c r="E13" s="8">
        <v>1</v>
      </c>
      <c r="F13" s="8">
        <v>6</v>
      </c>
      <c r="G13" s="8">
        <v>0</v>
      </c>
      <c r="H13" s="26">
        <v>0.29729729729729731</v>
      </c>
      <c r="I13" s="26">
        <v>0.45945945945945948</v>
      </c>
      <c r="J13" s="26">
        <v>5.4054054054054057E-2</v>
      </c>
      <c r="K13" s="26">
        <v>2.7027027027027029E-2</v>
      </c>
      <c r="L13" s="26">
        <v>0.1621621621621622</v>
      </c>
      <c r="M13" s="26">
        <v>0</v>
      </c>
      <c r="N13" s="10">
        <v>37</v>
      </c>
      <c r="O13" s="8">
        <v>8</v>
      </c>
    </row>
    <row r="14" spans="1:15" ht="16.5" customHeight="1" x14ac:dyDescent="0.3">
      <c r="A14" s="8" t="s">
        <v>33</v>
      </c>
      <c r="B14" s="8">
        <v>9</v>
      </c>
      <c r="C14" s="8">
        <v>12</v>
      </c>
      <c r="D14" s="8">
        <v>1</v>
      </c>
      <c r="E14" s="8">
        <v>3</v>
      </c>
      <c r="F14" s="8">
        <v>3</v>
      </c>
      <c r="G14" s="8">
        <v>3</v>
      </c>
      <c r="H14" s="26">
        <v>0.29032258064516131</v>
      </c>
      <c r="I14" s="26">
        <v>0.38709677419354838</v>
      </c>
      <c r="J14" s="26">
        <v>3.2258064516129031E-2</v>
      </c>
      <c r="K14" s="26">
        <v>9.6774193548387094E-2</v>
      </c>
      <c r="L14" s="26">
        <v>9.6774193548387094E-2</v>
      </c>
      <c r="M14" s="26">
        <v>9.6774193548387094E-2</v>
      </c>
      <c r="N14" s="10">
        <v>31</v>
      </c>
      <c r="O14" s="8">
        <v>10</v>
      </c>
    </row>
    <row r="15" spans="1:15" ht="16.5" customHeight="1" x14ac:dyDescent="0.3">
      <c r="A15" s="8" t="s">
        <v>34</v>
      </c>
      <c r="B15" s="8">
        <v>5</v>
      </c>
      <c r="C15" s="8">
        <v>6</v>
      </c>
      <c r="D15" s="8">
        <v>1</v>
      </c>
      <c r="E15" s="8">
        <v>0</v>
      </c>
      <c r="F15" s="8">
        <v>5</v>
      </c>
      <c r="G15" s="8">
        <v>0</v>
      </c>
      <c r="H15" s="26">
        <v>0.29411764705882348</v>
      </c>
      <c r="I15" s="26">
        <v>0.35294117647058831</v>
      </c>
      <c r="J15" s="26">
        <v>5.8823529411764712E-2</v>
      </c>
      <c r="K15" s="26">
        <v>0</v>
      </c>
      <c r="L15" s="26">
        <v>0.29411764705882348</v>
      </c>
      <c r="M15" s="26">
        <v>0</v>
      </c>
      <c r="N15" s="10">
        <v>17</v>
      </c>
      <c r="O15" s="8">
        <v>5</v>
      </c>
    </row>
  </sheetData>
  <mergeCells count="2">
    <mergeCell ref="A1:H1"/>
    <mergeCell ref="A6:O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zoomScaleNormal="100" workbookViewId="0"/>
  </sheetViews>
  <sheetFormatPr defaultColWidth="8.7421875" defaultRowHeight="15" x14ac:dyDescent="0.2"/>
  <cols>
    <col min="1" max="1" width="25.9609375" customWidth="1"/>
    <col min="2" max="2" width="7.93359375" customWidth="1"/>
    <col min="3" max="3" width="11.02734375" customWidth="1"/>
    <col min="4" max="10" width="13.046875" customWidth="1"/>
  </cols>
  <sheetData>
    <row r="1" spans="1:10" ht="20.100000000000001" customHeight="1" x14ac:dyDescent="0.2">
      <c r="A1" s="28" t="s">
        <v>151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6.5" customHeight="1" x14ac:dyDescent="0.3">
      <c r="A2" s="1" t="s">
        <v>152</v>
      </c>
      <c r="B2" s="1" t="s">
        <v>26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1" t="s">
        <v>8</v>
      </c>
      <c r="J2" s="1" t="s">
        <v>153</v>
      </c>
    </row>
    <row r="3" spans="1:10" ht="16.5" customHeight="1" x14ac:dyDescent="0.3">
      <c r="A3" s="9" t="s">
        <v>115</v>
      </c>
      <c r="B3" s="8">
        <v>3</v>
      </c>
      <c r="C3" s="8">
        <v>4</v>
      </c>
      <c r="D3" s="8">
        <v>5</v>
      </c>
      <c r="E3" s="8">
        <v>1</v>
      </c>
      <c r="F3" s="8">
        <v>2</v>
      </c>
      <c r="G3" s="8">
        <v>2</v>
      </c>
      <c r="H3" s="8">
        <v>0</v>
      </c>
      <c r="I3" s="10">
        <v>14</v>
      </c>
      <c r="J3" s="27">
        <v>0.28571428571428598</v>
      </c>
    </row>
    <row r="4" spans="1:10" ht="16.5" customHeight="1" x14ac:dyDescent="0.3">
      <c r="A4" s="9" t="s">
        <v>126</v>
      </c>
      <c r="B4" s="8">
        <v>3</v>
      </c>
      <c r="C4" s="8">
        <v>3</v>
      </c>
      <c r="D4" s="8">
        <v>6</v>
      </c>
      <c r="E4" s="8">
        <v>1</v>
      </c>
      <c r="F4" s="8">
        <v>1</v>
      </c>
      <c r="G4" s="8">
        <v>1</v>
      </c>
      <c r="H4" s="8">
        <v>0</v>
      </c>
      <c r="I4" s="10">
        <v>12</v>
      </c>
      <c r="J4" s="27">
        <v>0.25</v>
      </c>
    </row>
    <row r="5" spans="1:10" ht="16.5" customHeight="1" x14ac:dyDescent="0.3">
      <c r="A5" s="9" t="s">
        <v>70</v>
      </c>
      <c r="B5" s="8">
        <v>3</v>
      </c>
      <c r="C5" s="8">
        <v>2</v>
      </c>
      <c r="D5" s="8">
        <v>5</v>
      </c>
      <c r="E5" s="8">
        <v>0</v>
      </c>
      <c r="F5" s="8">
        <v>1</v>
      </c>
      <c r="G5" s="8">
        <v>3</v>
      </c>
      <c r="H5" s="8">
        <v>0</v>
      </c>
      <c r="I5" s="10">
        <v>11</v>
      </c>
      <c r="J5" s="27">
        <v>0.1818181818181818</v>
      </c>
    </row>
    <row r="6" spans="1:10" ht="16.5" customHeight="1" x14ac:dyDescent="0.3">
      <c r="A6" s="9" t="s">
        <v>52</v>
      </c>
      <c r="B6" s="8">
        <v>2</v>
      </c>
      <c r="C6" s="8">
        <v>3</v>
      </c>
      <c r="D6" s="8">
        <v>5</v>
      </c>
      <c r="E6" s="8">
        <v>1</v>
      </c>
      <c r="F6" s="8">
        <v>1</v>
      </c>
      <c r="G6" s="8">
        <v>1</v>
      </c>
      <c r="H6" s="8">
        <v>0</v>
      </c>
      <c r="I6" s="10">
        <v>11</v>
      </c>
      <c r="J6" s="27">
        <v>0.27272727272727298</v>
      </c>
    </row>
    <row r="7" spans="1:10" ht="18" customHeight="1" x14ac:dyDescent="0.3">
      <c r="A7" s="9" t="s">
        <v>110</v>
      </c>
      <c r="B7" s="8">
        <v>1</v>
      </c>
      <c r="C7" s="8">
        <v>3</v>
      </c>
      <c r="D7" s="8">
        <v>4</v>
      </c>
      <c r="E7" s="8">
        <v>0</v>
      </c>
      <c r="F7" s="8">
        <v>0</v>
      </c>
      <c r="G7" s="8">
        <v>1</v>
      </c>
      <c r="H7" s="8">
        <v>0</v>
      </c>
      <c r="I7" s="10">
        <v>8</v>
      </c>
      <c r="J7" s="27">
        <v>0.375</v>
      </c>
    </row>
    <row r="8" spans="1:10" ht="16.5" customHeight="1" x14ac:dyDescent="0.3">
      <c r="A8" s="9" t="s">
        <v>50</v>
      </c>
      <c r="B8" s="8">
        <v>2</v>
      </c>
      <c r="C8" s="8">
        <v>3</v>
      </c>
      <c r="D8" s="8">
        <v>6</v>
      </c>
      <c r="E8" s="8">
        <v>0</v>
      </c>
      <c r="F8" s="8">
        <v>0</v>
      </c>
      <c r="G8" s="8">
        <v>3</v>
      </c>
      <c r="H8" s="8">
        <v>0</v>
      </c>
      <c r="I8" s="10">
        <v>12</v>
      </c>
      <c r="J8" s="27">
        <v>0.25</v>
      </c>
    </row>
    <row r="9" spans="1:10" ht="16.5" customHeight="1" x14ac:dyDescent="0.3">
      <c r="A9" s="9" t="s">
        <v>108</v>
      </c>
      <c r="B9" s="8">
        <v>1</v>
      </c>
      <c r="C9" s="8">
        <v>2</v>
      </c>
      <c r="D9" s="8">
        <v>3</v>
      </c>
      <c r="E9" s="8">
        <v>1</v>
      </c>
      <c r="F9" s="8">
        <v>0</v>
      </c>
      <c r="G9" s="8">
        <v>1</v>
      </c>
      <c r="H9" s="8">
        <v>0</v>
      </c>
      <c r="I9" s="10">
        <v>7</v>
      </c>
      <c r="J9" s="27">
        <v>0.28571428571428598</v>
      </c>
    </row>
    <row r="10" spans="1:10" ht="16.5" customHeight="1" x14ac:dyDescent="0.3">
      <c r="A10" s="9" t="s">
        <v>64</v>
      </c>
      <c r="B10" s="8">
        <v>1</v>
      </c>
      <c r="C10" s="8">
        <v>2</v>
      </c>
      <c r="D10" s="8">
        <v>3</v>
      </c>
      <c r="E10" s="8">
        <v>1</v>
      </c>
      <c r="F10" s="8">
        <v>0</v>
      </c>
      <c r="G10" s="8">
        <v>1</v>
      </c>
      <c r="H10" s="8">
        <v>0</v>
      </c>
      <c r="I10" s="10">
        <v>7</v>
      </c>
      <c r="J10" s="27">
        <v>0.28571428571428598</v>
      </c>
    </row>
    <row r="11" spans="1:10" ht="16.5" customHeight="1" x14ac:dyDescent="0.3">
      <c r="A11" s="9" t="s">
        <v>62</v>
      </c>
      <c r="B11" s="8">
        <v>2</v>
      </c>
      <c r="C11" s="8">
        <v>2</v>
      </c>
      <c r="D11" s="8">
        <v>3</v>
      </c>
      <c r="E11" s="8">
        <v>0</v>
      </c>
      <c r="F11" s="8">
        <v>0</v>
      </c>
      <c r="G11" s="8">
        <v>1</v>
      </c>
      <c r="H11" s="8">
        <v>0</v>
      </c>
      <c r="I11" s="10">
        <v>6</v>
      </c>
      <c r="J11" s="27">
        <v>0.33333333333333298</v>
      </c>
    </row>
    <row r="12" spans="1:10" ht="16.5" customHeight="1" x14ac:dyDescent="0.3">
      <c r="A12" s="9" t="s">
        <v>58</v>
      </c>
      <c r="B12" s="8">
        <v>2</v>
      </c>
      <c r="C12" s="8">
        <v>4</v>
      </c>
      <c r="D12" s="8">
        <v>4</v>
      </c>
      <c r="E12" s="8">
        <v>0</v>
      </c>
      <c r="F12" s="8">
        <v>0</v>
      </c>
      <c r="G12" s="8">
        <v>1</v>
      </c>
      <c r="H12" s="8">
        <v>0</v>
      </c>
      <c r="I12" s="10">
        <v>9</v>
      </c>
      <c r="J12" s="27">
        <v>0.44444444444444442</v>
      </c>
    </row>
    <row r="13" spans="1:10" ht="16.5" customHeight="1" x14ac:dyDescent="0.3">
      <c r="A13" s="9" t="s">
        <v>141</v>
      </c>
      <c r="B13" s="8">
        <v>1</v>
      </c>
      <c r="C13" s="8">
        <v>1</v>
      </c>
      <c r="D13" s="8">
        <v>2</v>
      </c>
      <c r="E13" s="8">
        <v>0</v>
      </c>
      <c r="F13" s="8">
        <v>0</v>
      </c>
      <c r="G13" s="8">
        <v>2</v>
      </c>
      <c r="H13" s="8">
        <v>0</v>
      </c>
      <c r="I13" s="10">
        <v>5</v>
      </c>
      <c r="J13" s="27">
        <v>0.2</v>
      </c>
    </row>
    <row r="14" spans="1:10" ht="16.5" customHeight="1" x14ac:dyDescent="0.3">
      <c r="A14" s="9" t="s">
        <v>54</v>
      </c>
      <c r="B14" s="8">
        <v>2</v>
      </c>
      <c r="C14" s="8">
        <v>2</v>
      </c>
      <c r="D14" s="8">
        <v>3</v>
      </c>
      <c r="E14" s="8">
        <v>0</v>
      </c>
      <c r="F14" s="8">
        <v>1</v>
      </c>
      <c r="G14" s="8">
        <v>1</v>
      </c>
      <c r="H14" s="8">
        <v>4</v>
      </c>
      <c r="I14" s="10">
        <v>11</v>
      </c>
      <c r="J14" s="27">
        <v>0.1818181818181818</v>
      </c>
    </row>
    <row r="15" spans="1:10" ht="16.5" customHeight="1" x14ac:dyDescent="0.3">
      <c r="A15" s="9" t="s">
        <v>103</v>
      </c>
      <c r="B15" s="8">
        <v>3</v>
      </c>
      <c r="C15" s="8">
        <v>3</v>
      </c>
      <c r="D15" s="8">
        <v>3</v>
      </c>
      <c r="E15" s="8">
        <v>0</v>
      </c>
      <c r="F15" s="8">
        <v>0</v>
      </c>
      <c r="G15" s="8">
        <v>2</v>
      </c>
      <c r="H15" s="8">
        <v>5</v>
      </c>
      <c r="I15" s="10">
        <v>13</v>
      </c>
      <c r="J15" s="27">
        <v>0.23076923076923081</v>
      </c>
    </row>
    <row r="16" spans="1:10" ht="16.5" customHeight="1" x14ac:dyDescent="0.3">
      <c r="A16" s="9" t="s">
        <v>144</v>
      </c>
      <c r="B16" s="8">
        <v>1</v>
      </c>
      <c r="C16" s="8">
        <v>1</v>
      </c>
      <c r="D16" s="8">
        <v>1</v>
      </c>
      <c r="E16" s="8">
        <v>0</v>
      </c>
      <c r="F16" s="8">
        <v>0</v>
      </c>
      <c r="G16" s="8">
        <v>2</v>
      </c>
      <c r="H16" s="8">
        <v>0</v>
      </c>
      <c r="I16" s="10">
        <v>4</v>
      </c>
      <c r="J16" s="27">
        <v>0.25</v>
      </c>
    </row>
    <row r="17" spans="1:10" ht="16.5" customHeight="1" x14ac:dyDescent="0.3">
      <c r="A17" s="9" t="s">
        <v>60</v>
      </c>
      <c r="B17" s="8">
        <v>1</v>
      </c>
      <c r="C17" s="8">
        <v>1</v>
      </c>
      <c r="D17" s="8">
        <v>2</v>
      </c>
      <c r="E17" s="8">
        <v>0</v>
      </c>
      <c r="F17" s="8">
        <v>1</v>
      </c>
      <c r="G17" s="8">
        <v>0</v>
      </c>
      <c r="H17" s="8">
        <v>0</v>
      </c>
      <c r="I17" s="10">
        <v>4</v>
      </c>
      <c r="J17" s="27">
        <v>0.25</v>
      </c>
    </row>
    <row r="18" spans="1:10" ht="16.5" customHeight="1" x14ac:dyDescent="0.3">
      <c r="A18" s="9" t="s">
        <v>66</v>
      </c>
      <c r="B18" s="8">
        <v>1</v>
      </c>
      <c r="C18" s="8">
        <v>1</v>
      </c>
      <c r="D18" s="8">
        <v>2</v>
      </c>
      <c r="E18" s="8">
        <v>0</v>
      </c>
      <c r="F18" s="8">
        <v>0</v>
      </c>
      <c r="G18" s="8">
        <v>1</v>
      </c>
      <c r="H18" s="8">
        <v>0</v>
      </c>
      <c r="I18" s="10">
        <v>4</v>
      </c>
      <c r="J18" s="27">
        <v>0.25</v>
      </c>
    </row>
    <row r="19" spans="1:10" ht="16.5" customHeight="1" x14ac:dyDescent="0.3">
      <c r="A19" s="9" t="s">
        <v>96</v>
      </c>
      <c r="B19" s="8">
        <v>1</v>
      </c>
      <c r="C19" s="8">
        <v>1</v>
      </c>
      <c r="D19" s="8">
        <v>1</v>
      </c>
      <c r="E19" s="8">
        <v>0</v>
      </c>
      <c r="F19" s="8">
        <v>0</v>
      </c>
      <c r="G19" s="8">
        <v>2</v>
      </c>
      <c r="H19" s="8">
        <v>0</v>
      </c>
      <c r="I19" s="10">
        <v>4</v>
      </c>
      <c r="J19" s="27">
        <v>0.25</v>
      </c>
    </row>
    <row r="20" spans="1:10" ht="16.5" customHeight="1" x14ac:dyDescent="0.3">
      <c r="A20" s="9" t="s">
        <v>72</v>
      </c>
      <c r="B20" s="8">
        <v>1</v>
      </c>
      <c r="C20" s="8">
        <v>1</v>
      </c>
      <c r="D20" s="8">
        <v>2</v>
      </c>
      <c r="E20" s="8">
        <v>0</v>
      </c>
      <c r="F20" s="8">
        <v>0</v>
      </c>
      <c r="G20" s="8">
        <v>1</v>
      </c>
      <c r="H20" s="8">
        <v>0</v>
      </c>
      <c r="I20" s="10">
        <v>4</v>
      </c>
      <c r="J20" s="27">
        <v>0.25</v>
      </c>
    </row>
    <row r="21" spans="1:10" ht="16.5" customHeight="1" x14ac:dyDescent="0.3">
      <c r="A21" s="9" t="s">
        <v>45</v>
      </c>
      <c r="B21" s="8">
        <v>2</v>
      </c>
      <c r="C21" s="8">
        <v>2</v>
      </c>
      <c r="D21" s="8">
        <v>2</v>
      </c>
      <c r="E21" s="8">
        <v>0</v>
      </c>
      <c r="F21" s="8">
        <v>0</v>
      </c>
      <c r="G21" s="8">
        <v>2</v>
      </c>
      <c r="H21" s="8">
        <v>0</v>
      </c>
      <c r="I21" s="10">
        <v>6</v>
      </c>
      <c r="J21" s="27">
        <v>0.33333333333333331</v>
      </c>
    </row>
    <row r="22" spans="1:10" ht="16.5" customHeight="1" x14ac:dyDescent="0.3">
      <c r="A22" s="9" t="s">
        <v>118</v>
      </c>
      <c r="B22" s="8">
        <v>2</v>
      </c>
      <c r="C22" s="8">
        <v>1</v>
      </c>
      <c r="D22" s="8">
        <v>1</v>
      </c>
      <c r="E22" s="8">
        <v>0</v>
      </c>
      <c r="F22" s="8">
        <v>1</v>
      </c>
      <c r="G22" s="8">
        <v>0</v>
      </c>
      <c r="H22" s="8">
        <v>0</v>
      </c>
      <c r="I22" s="10">
        <v>3</v>
      </c>
      <c r="J22" s="27">
        <v>0.33333333333333298</v>
      </c>
    </row>
    <row r="23" spans="1:10" ht="16.5" customHeight="1" x14ac:dyDescent="0.3">
      <c r="A23" s="9" t="s">
        <v>146</v>
      </c>
      <c r="B23" s="8">
        <v>1</v>
      </c>
      <c r="C23" s="8">
        <v>1</v>
      </c>
      <c r="D23" s="8">
        <v>1</v>
      </c>
      <c r="E23" s="8">
        <v>0</v>
      </c>
      <c r="F23" s="8">
        <v>0</v>
      </c>
      <c r="G23" s="8">
        <v>1</v>
      </c>
      <c r="H23" s="8">
        <v>0</v>
      </c>
      <c r="I23" s="10">
        <v>3</v>
      </c>
      <c r="J23" s="27">
        <v>0.33333333333333298</v>
      </c>
    </row>
    <row r="24" spans="1:10" ht="16.5" customHeight="1" x14ac:dyDescent="0.3">
      <c r="A24" s="9" t="s">
        <v>80</v>
      </c>
      <c r="B24" s="8">
        <v>1</v>
      </c>
      <c r="C24" s="8">
        <v>1</v>
      </c>
      <c r="D24" s="8">
        <v>1</v>
      </c>
      <c r="E24" s="8">
        <v>0</v>
      </c>
      <c r="F24" s="8">
        <v>0</v>
      </c>
      <c r="G24" s="8">
        <v>1</v>
      </c>
      <c r="H24" s="8">
        <v>0</v>
      </c>
      <c r="I24" s="10">
        <v>3</v>
      </c>
      <c r="J24" s="27">
        <v>0.33333333333333298</v>
      </c>
    </row>
    <row r="25" spans="1:10" ht="16.5" customHeight="1" x14ac:dyDescent="0.3">
      <c r="A25" s="9" t="s">
        <v>56</v>
      </c>
      <c r="B25" s="8">
        <v>1</v>
      </c>
      <c r="C25" s="8">
        <v>1</v>
      </c>
      <c r="D25" s="8">
        <v>1</v>
      </c>
      <c r="E25" s="8">
        <v>0</v>
      </c>
      <c r="F25" s="8">
        <v>0</v>
      </c>
      <c r="G25" s="8">
        <v>1</v>
      </c>
      <c r="H25" s="8">
        <v>0</v>
      </c>
      <c r="I25" s="10">
        <v>3</v>
      </c>
      <c r="J25" s="27">
        <v>0.33333333333333298</v>
      </c>
    </row>
    <row r="26" spans="1:10" ht="16.5" customHeight="1" x14ac:dyDescent="0.3">
      <c r="A26" s="9" t="s">
        <v>91</v>
      </c>
      <c r="B26" s="8">
        <v>1</v>
      </c>
      <c r="C26" s="8">
        <v>1</v>
      </c>
      <c r="D26" s="8">
        <v>1</v>
      </c>
      <c r="E26" s="8">
        <v>0</v>
      </c>
      <c r="F26" s="8">
        <v>1</v>
      </c>
      <c r="G26" s="8">
        <v>0</v>
      </c>
      <c r="H26" s="8">
        <v>0</v>
      </c>
      <c r="I26" s="10">
        <v>3</v>
      </c>
      <c r="J26" s="27">
        <v>0.33333333333333298</v>
      </c>
    </row>
    <row r="27" spans="1:10" ht="16.5" customHeight="1" x14ac:dyDescent="0.3">
      <c r="A27" s="9" t="s">
        <v>98</v>
      </c>
      <c r="B27" s="8">
        <v>1</v>
      </c>
      <c r="C27" s="8">
        <v>0</v>
      </c>
      <c r="D27" s="8">
        <v>2</v>
      </c>
      <c r="E27" s="8">
        <v>0</v>
      </c>
      <c r="F27" s="8">
        <v>0</v>
      </c>
      <c r="G27" s="8">
        <v>1</v>
      </c>
      <c r="H27" s="8">
        <v>0</v>
      </c>
      <c r="I27" s="10">
        <v>3</v>
      </c>
      <c r="J27" s="27">
        <v>0</v>
      </c>
    </row>
    <row r="28" spans="1:10" ht="16.5" customHeight="1" x14ac:dyDescent="0.3">
      <c r="A28" s="9" t="s">
        <v>43</v>
      </c>
      <c r="B28" s="8">
        <v>1</v>
      </c>
      <c r="C28" s="8">
        <v>1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10">
        <v>2</v>
      </c>
      <c r="J28" s="27">
        <v>0.5</v>
      </c>
    </row>
    <row r="29" spans="1:10" ht="16.5" customHeight="1" x14ac:dyDescent="0.3">
      <c r="A29" s="9" t="s">
        <v>68</v>
      </c>
      <c r="B29" s="8">
        <v>1</v>
      </c>
      <c r="C29" s="8">
        <v>0</v>
      </c>
      <c r="D29" s="8">
        <v>1</v>
      </c>
      <c r="E29" s="8">
        <v>0</v>
      </c>
      <c r="F29" s="8">
        <v>0</v>
      </c>
      <c r="G29" s="8">
        <v>1</v>
      </c>
      <c r="H29" s="8">
        <v>0</v>
      </c>
      <c r="I29" s="10">
        <v>2</v>
      </c>
      <c r="J29" s="27">
        <v>0</v>
      </c>
    </row>
    <row r="30" spans="1:10" ht="16.5" customHeight="1" x14ac:dyDescent="0.3">
      <c r="A30" s="9" t="s">
        <v>93</v>
      </c>
      <c r="B30" s="8">
        <v>1</v>
      </c>
      <c r="C30" s="8">
        <v>1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10">
        <v>2</v>
      </c>
      <c r="J30" s="27">
        <v>0.5</v>
      </c>
    </row>
    <row r="31" spans="1:10" ht="16.5" customHeight="1" x14ac:dyDescent="0.3">
      <c r="A31" s="9" t="s">
        <v>74</v>
      </c>
      <c r="B31" s="8">
        <v>2</v>
      </c>
      <c r="C31" s="8">
        <v>2</v>
      </c>
      <c r="D31" s="8">
        <v>3</v>
      </c>
      <c r="E31" s="8">
        <v>0</v>
      </c>
      <c r="F31" s="8">
        <v>0</v>
      </c>
      <c r="G31" s="8">
        <v>0</v>
      </c>
      <c r="H31" s="8">
        <v>0</v>
      </c>
      <c r="I31" s="10">
        <v>5</v>
      </c>
      <c r="J31" s="27">
        <v>0.4</v>
      </c>
    </row>
    <row r="32" spans="1:10" ht="16.5" customHeight="1" x14ac:dyDescent="0.3">
      <c r="A32" s="9" t="s">
        <v>131</v>
      </c>
      <c r="B32" s="8">
        <v>1</v>
      </c>
      <c r="C32" s="8">
        <v>0</v>
      </c>
      <c r="D32" s="8">
        <v>1</v>
      </c>
      <c r="E32" s="8">
        <v>0</v>
      </c>
      <c r="F32" s="8">
        <v>0</v>
      </c>
      <c r="G32" s="8">
        <v>0</v>
      </c>
      <c r="H32" s="8">
        <v>0</v>
      </c>
      <c r="I32" s="10">
        <v>1</v>
      </c>
      <c r="J32" s="27">
        <v>0</v>
      </c>
    </row>
    <row r="33" spans="1:10" ht="16.5" x14ac:dyDescent="0.3">
      <c r="A33" s="9" t="s">
        <v>101</v>
      </c>
      <c r="B33" s="8">
        <v>1</v>
      </c>
      <c r="C33" s="8">
        <v>1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10">
        <v>2</v>
      </c>
      <c r="J33" s="27">
        <v>0.5</v>
      </c>
    </row>
    <row r="34" spans="1:10" ht="16.5" x14ac:dyDescent="0.3">
      <c r="A34" s="9" t="s">
        <v>135</v>
      </c>
      <c r="B34" s="8">
        <v>1</v>
      </c>
      <c r="C34" s="8">
        <v>1</v>
      </c>
      <c r="D34" s="8">
        <v>2</v>
      </c>
      <c r="E34" s="8">
        <v>1</v>
      </c>
      <c r="F34" s="8">
        <v>0</v>
      </c>
      <c r="G34" s="8">
        <v>0</v>
      </c>
      <c r="H34" s="8">
        <v>0</v>
      </c>
      <c r="I34" s="10">
        <v>4</v>
      </c>
      <c r="J34" s="27">
        <v>0.25</v>
      </c>
    </row>
    <row r="35" spans="1:10" ht="16.5" x14ac:dyDescent="0.3">
      <c r="A35" s="9" t="s">
        <v>148</v>
      </c>
      <c r="B35" s="8">
        <v>1</v>
      </c>
      <c r="C35" s="8">
        <v>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10">
        <v>1</v>
      </c>
      <c r="J35" s="27">
        <v>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지부별 현장명단</vt:lpstr>
      <vt:lpstr>전체현황</vt:lpstr>
      <vt:lpstr>타워사별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2026-08-09T08:06:02Z</dcterms:created>
  <dcterms:modified xsi:type="dcterms:W3CDTF">2026-09-17T05:12:08Z</dcterms:modified>
  <dc:language>en-US</dc:language>
</cp:coreProperties>
</file>