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f1fc5a23bc44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f9a42abcac194542"/>
    <x:sheet xmlns:r="http://schemas.openxmlformats.org/officeDocument/2006/relationships" name="2.각8개지부 현장점유율" sheetId="2" r:id="R575daa7d0bb2459a"/>
    <x:sheet xmlns:r="http://schemas.openxmlformats.org/officeDocument/2006/relationships" name="3.타워사별 점유현황" sheetId="3" r:id="R51d5626cf6584477"/>
    <x:sheet xmlns:r="http://schemas.openxmlformats.org/officeDocument/2006/relationships" name="4.반도체현장" sheetId="4" r:id="R375fd11df0e240ae"/>
    <x:sheet xmlns:r="http://schemas.openxmlformats.org/officeDocument/2006/relationships" name="5.1~9월채용추이" sheetId="5" r:id="Ra1f275c8a34d4eab"/>
    <x:sheet xmlns:r="http://schemas.openxmlformats.org/officeDocument/2006/relationships" name="6.월별 소속별 채용비율" sheetId="6" r:id="R118a5c739999476d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<x:sst xmlns:x="http://schemas.openxmlformats.org/spreadsheetml/2006/main">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</x:sst>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818528d0524dfe" /><Relationship Type="http://schemas.openxmlformats.org/officeDocument/2006/relationships/theme" Target="/xl/theme/theme1.xml" Id="R6b176d94a8ae4e71" /><Relationship Type="http://schemas.openxmlformats.org/officeDocument/2006/relationships/sharedStrings" Target="/xl/sharedStrings.xml" Id="R0361d2ba88944437" /><Relationship Type="http://schemas.openxmlformats.org/officeDocument/2006/relationships/worksheet" Target="/xl/worksheets/sheet1.xml" Id="Rf9a42abcac194542" /><Relationship Type="http://schemas.openxmlformats.org/officeDocument/2006/relationships/worksheet" Target="/xl/worksheets/sheet2.xml" Id="R575daa7d0bb2459a" /><Relationship Type="http://schemas.openxmlformats.org/officeDocument/2006/relationships/worksheet" Target="/xl/worksheets/sheet3.xml" Id="R51d5626cf6584477" /><Relationship Type="http://schemas.openxmlformats.org/officeDocument/2006/relationships/worksheet" Target="/xl/worksheets/sheet4.xml" Id="R375fd11df0e240ae" /><Relationship Type="http://schemas.openxmlformats.org/officeDocument/2006/relationships/worksheet" Target="/xl/worksheets/sheet5.xml" Id="Ra1f275c8a34d4eab" /><Relationship Type="http://schemas.openxmlformats.org/officeDocument/2006/relationships/worksheet" Target="/xl/worksheets/sheet6.xml" Id="R118a5c73999947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991f3956ad2482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91f3956ad248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24b884fc15174b5f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>
        <x:v>72</x:v>
      </x:c>
      <x:c r="C3" s="567" t="n">
        <x:v>106</x:v>
      </x:c>
      <x:c r="D3" s="567" t="n">
        <x:v>9</x:v>
      </x:c>
      <x:c r="E3" s="567">
        <x:v>10</x:v>
      </x:c>
      <x:c r="F3" s="567">
        <x:v>42</x:v>
      </x:c>
      <x:c r="G3" s="567" t="n">
        <x:v>15</x:v>
      </x:c>
      <x:c r="H3" s="567" t="n">
        <x:f>SUM(B3:G3)</x:f>
        <x:v>254</x:v>
      </x:c>
      <x:c r="I3" s="9" t="s">
        <x:v>11</x:v>
      </x:c>
    </x:row>
    <x:row r="4">
      <x:c r="A4" s="10" t="s">
        <x:v>9</x:v>
      </x:c>
      <x:c r="B4" s="32" t="n">
        <x:f>IF($H$3=0,0,B3/$H$3)</x:f>
        <x:v>0.28346456692913385</x:v>
      </x:c>
      <x:c r="C4" s="32" t="n">
        <x:f>IF($H$3=0,0,C3/$H$3)</x:f>
        <x:v>0.41732283464566927</x:v>
      </x:c>
      <x:c r="D4" s="32" t="n">
        <x:f>IF($H$3=0,0,D3/$H$3)</x:f>
        <x:v>0.03543307086614173</x:v>
      </x:c>
      <x:c r="E4" s="32" t="n">
        <x:f>IF($H$3=0,0,E3/$H$3)</x:f>
        <x:v>0.03937007874015748</x:v>
      </x:c>
      <x:c r="F4" s="32" t="n">
        <x:f>IF($H$3=0,0,F3/$H$3)</x:f>
        <x:v>0.16535433070866143</x:v>
      </x:c>
      <x:c r="G4" s="32" t="n">
        <x:f>IF($H$3=0,0,G3/$H$3)</x:f>
        <x:v>0.05905511811023622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145" t="inlineStr">
        <x:is>
          <x:t xml:space="preserve">남부</x:t>
        </x:is>
      </x:c>
      <x:c r="B26" s="145" t="inlineStr">
        <x:is>
          <x:t xml:space="preserve">평택고덕 Aa-38BL 아파트 건설공사 15공구</x:t>
        </x:is>
      </x:c>
      <x:c r="C26" s="145" t="inlineStr">
        <x:is>
          <x:t xml:space="preserve">(주)성광엔지니어링</x:t>
        </x:is>
      </x:c>
      <x:c r="D26" s="145" t="inlineStr">
        <x:is>
          <x:t xml:space="preserve">원청사: 효성중공업(주)</x:t>
        </x:is>
      </x:c>
      <x:c r="E26" s="538">
        <x:v>1</x:v>
      </x:c>
      <x:c r="F26" s="538">
        <x:v>2</x:v>
      </x:c>
      <x:c r="G26" s="538">
        <x:v>0</x:v>
      </x:c>
      <x:c r="H26" s="538">
        <x:v>0</x:v>
      </x:c>
      <x:c r="I26" s="538">
        <x:v>1</x:v>
      </x:c>
      <x:c r="J26" s="538">
        <x:v>0</x:v>
      </x:c>
      <x:c r="K26" s="539" t="n">
        <x:f>SUM(E26:J26)</x:f>
        <x:v>4</x:v>
      </x:c>
      <x:c r="L26" s="119" t="inlineStr">
        <x:is>
          <x:t xml:space="preserve">2026-10-19 입사 / 평택시 소재 / 원본 소속 중부지부</x:t>
        </x:is>
      </x:c>
    </x:row>
    <x:row r="27">
      <x:c r="A27" s="38" t="str">
        <x:v>남부지부 소계</x:v>
      </x:c>
      <x:c r="B27" s="38"/>
      <x:c r="C27" s="38"/>
      <x:c r="D27" s="38"/>
      <x:c r="E27" s="540" t="n">
        <x:f>SUM(E8:E26)</x:f>
        <x:v>23</x:v>
      </x:c>
      <x:c r="F27" s="540" t="n">
        <x:f>SUM(F8:F26)</x:f>
        <x:v>41</x:v>
      </x:c>
      <x:c r="G27" s="540" t="n">
        <x:f>SUM(G8:G26)</x:f>
        <x:v>2</x:v>
      </x:c>
      <x:c r="H27" s="540" t="n">
        <x:f>SUM(H8:H26)</x:f>
        <x:v>4</x:v>
      </x:c>
      <x:c r="I27" s="540" t="n">
        <x:f>SUM(I8:I26)</x:f>
        <x:v>14</x:v>
      </x:c>
      <x:c r="J27" s="540" t="n">
        <x:f>SUM(J8:J26)</x:f>
        <x:v>3</x:v>
      </x:c>
      <x:c r="K27" s="540" t="n">
        <x:f>SUM(K8:K26)</x:f>
        <x:v>87</x:v>
      </x:c>
      <x:c r="L27" s="38"/>
    </x:row>
    <x:row r="28" s="14" customFormat="1">
      <x:c r="A28" s="86" t="str">
        <x:v>소계퍼센테이지</x:v>
      </x:c>
      <x:c r="B28" s="86"/>
      <x:c r="C28" s="86"/>
      <x:c r="D28" s="86"/>
      <x:c r="E28" s="150" t="n">
        <x:f>IF($K$27=0,0,E27/$K$27)</x:f>
        <x:v>0.26436781609195403</x:v>
      </x:c>
      <x:c r="F28" s="150" t="n">
        <x:f>IF($K$27=0,0,F27/$K$27)</x:f>
        <x:v>0.47126436781609193</x:v>
      </x:c>
      <x:c r="G28" s="150" t="n">
        <x:f>IF($K$27=0,0,G27/$K$27)</x:f>
        <x:v>0.022988505747126436</x:v>
      </x:c>
      <x:c r="H28" s="150" t="n">
        <x:f>IF($K$27=0,0,H27/$K$27)</x:f>
        <x:v>0.04597701149425287</x:v>
      </x:c>
      <x:c r="I28" s="150" t="n">
        <x:f>IF($K$27=0,0,I27/$K$27)</x:f>
        <x:v>0.16091954022988506</x:v>
      </x:c>
      <x:c r="J28" s="150" t="n">
        <x:f>IF($K$27=0,0,J27/$K$27)</x:f>
        <x:v>0.034482758620689655</x:v>
      </x:c>
      <x:c r="K28" s="150" t="n">
        <x:f>IF($K$27=0,0,K27/$K$27)</x:f>
        <x:v>1</x:v>
      </x:c>
      <x:c r="L28" s="86"/>
    </x:row>
    <x:row r="29" s="14" customFormat="1" ht="17.25">
      <x:c r="A29" s="83" t="str">
        <x:v>남서</x:v>
      </x:c>
      <x:c r="B29" s="84" t="str">
        <x:v>남양우미린</x:v>
      </x:c>
      <x:c r="C29" s="84" t="str">
        <x:v>뉴월드타워 주식회사</x:v>
      </x:c>
      <x:c r="D29" s="84"/>
      <x:c r="E29" s="545" t="n">
        <x:v>1</x:v>
      </x:c>
      <x:c r="F29" s="545" t="n">
        <x:v>1</x:v>
      </x:c>
      <x:c r="G29" s="545" t="n">
        <x:v>0</x:v>
      </x:c>
      <x:c r="H29" s="545" t="n">
        <x:v>0</x:v>
      </x:c>
      <x:c r="I29" s="545" t="n">
        <x:v>1</x:v>
      </x:c>
      <x:c r="J29" s="545" t="n">
        <x:v>0</x:v>
      </x:c>
      <x:c r="K29" s="545" t="n">
        <x:v>3</x:v>
      </x:c>
      <x:c r="L29" s="84"/>
    </x:row>
    <x:row r="30" s="14" customFormat="1" ht="17.25">
      <x:c r="A30" s="108" t="str">
        <x:v>남서</x:v>
      </x:c>
      <x:c r="B30" s="109" t="str">
        <x:v>화성비봉 지역주택조합 아파트 신축공사</x:v>
      </x:c>
      <x:c r="C30" s="109" t="str">
        <x:v>주식회사 삼진타워</x:v>
      </x:c>
      <x:c r="D30" s="109"/>
      <x:c r="E30" s="549" t="n">
        <x:v>1</x:v>
      </x:c>
      <x:c r="F30" s="546" t="n">
        <x:v>1</x:v>
      </x:c>
      <x:c r="G30" s="546" t="n">
        <x:v>0</x:v>
      </x:c>
      <x:c r="H30" s="546" t="n">
        <x:v>0</x:v>
      </x:c>
      <x:c r="I30" s="546" t="n">
        <x:v>1</x:v>
      </x:c>
      <x:c r="J30" s="546" t="n">
        <x:v>2</x:v>
      </x:c>
      <x:c r="K30" s="547" t="n">
        <x:v>5</x:v>
      </x:c>
      <x:c r="L30" s="109"/>
    </x:row>
    <x:row r="31">
      <x:c r="A31" s="120" t="str">
        <x:v>남서</x:v>
      </x:c>
      <x:c r="B31" s="120" t="str">
        <x:v>오산세교2지구 M1블록 민간임대 주상복합 신축공사</x:v>
      </x:c>
      <x:c r="C31" s="120" t="str">
        <x:v>(주)남산공영</x:v>
      </x:c>
      <x:c r="D31" s="121"/>
      <x:c r="E31" s="550" t="n">
        <x:v>1</x:v>
      </x:c>
      <x:c r="F31" s="550" t="n">
        <x:v>1</x:v>
      </x:c>
      <x:c r="G31" s="550" t="n">
        <x:v>0</x:v>
      </x:c>
      <x:c r="H31" s="550" t="n">
        <x:v>0</x:v>
      </x:c>
      <x:c r="I31" s="550" t="n">
        <x:v>0</x:v>
      </x:c>
      <x:c r="J31" s="550" t="n">
        <x:v>2</x:v>
      </x:c>
      <x:c r="K31" s="548" t="n">
        <x:v>4</x:v>
      </x:c>
      <x:c r="L31" s="120"/>
    </x:row>
    <x:row r="32">
      <x:c r="A32" s="151" t="str">
        <x:v>남서</x:v>
      </x:c>
      <x:c r="B32" s="151" t="str">
        <x:v>오산 AMK R&amp;D</x:v>
      </x:c>
      <x:c r="C32" s="151" t="str">
        <x:v>신우개발(주)</x:v>
      </x:c>
      <x:c r="D32" s="151"/>
      <x:c r="E32" s="551" t="n">
        <x:v>1</x:v>
      </x:c>
      <x:c r="F32" s="551" t="n">
        <x:v>0</x:v>
      </x:c>
      <x:c r="G32" s="551" t="n">
        <x:v>0</x:v>
      </x:c>
      <x:c r="H32" s="551" t="n">
        <x:v>0</x:v>
      </x:c>
      <x:c r="I32" s="551" t="n">
        <x:v>0</x:v>
      </x:c>
      <x:c r="J32" s="551" t="n">
        <x:v>0</x:v>
      </x:c>
      <x:c r="K32" s="539" t="n">
        <x:f>SUM(E32:J32)</x:f>
        <x:v>1</x:v>
      </x:c>
      <x:c r="L32" s="119"/>
    </x:row>
    <x:row r="33" s="14" customFormat="1">
      <x:c r="A33" s="153" t="str">
        <x:v>남서</x:v>
      </x:c>
      <x:c r="B33" s="153" t="str">
        <x:v>오산세교우미린레이크시티</x:v>
      </x:c>
      <x:c r="C33" s="153" t="str">
        <x:v>뉴월드타워 주식회사</x:v>
      </x:c>
      <x:c r="D33" s="153"/>
      <x:c r="E33" s="540" t="n">
        <x:v>2</x:v>
      </x:c>
      <x:c r="F33" s="540" t="n">
        <x:v>4</x:v>
      </x:c>
      <x:c r="G33" s="540" t="n">
        <x:v>1</x:v>
      </x:c>
      <x:c r="H33" s="540" t="n">
        <x:v>0</x:v>
      </x:c>
      <x:c r="I33" s="540" t="n">
        <x:v>1</x:v>
      </x:c>
      <x:c r="J33" s="540" t="n">
        <x:v>0</x:v>
      </x:c>
      <x:c r="K33" s="541" t="n">
        <x:v>8</x:v>
      </x:c>
      <x:c r="L33" s="38"/>
    </x:row>
    <x:row r="34" s="14" customFormat="1">
      <x:c r="A34" s="38" t="str">
        <x:v>남서지부 소계</x:v>
      </x:c>
      <x:c r="B34" s="38"/>
      <x:c r="C34" s="38"/>
      <x:c r="D34" s="38"/>
      <x:c r="E34" s="540" t="n">
        <x:f>SUM(E29:E33)</x:f>
        <x:v>6</x:v>
      </x:c>
      <x:c r="F34" s="540" t="n">
        <x:f>SUM(F29:F33)</x:f>
        <x:v>7</x:v>
      </x:c>
      <x:c r="G34" s="540" t="n">
        <x:f>SUM(G29:G33)</x:f>
        <x:v>1</x:v>
      </x:c>
      <x:c r="H34" s="540" t="n">
        <x:f>SUM(H29:H33)</x:f>
        <x:v>0</x:v>
      </x:c>
      <x:c r="I34" s="540" t="n">
        <x:f>SUM(I29:I33)</x:f>
        <x:v>3</x:v>
      </x:c>
      <x:c r="J34" s="540" t="n">
        <x:f>SUM(J29:J33)</x:f>
        <x:v>4</x:v>
      </x:c>
      <x:c r="K34" s="540" t="n">
        <x:f>SUM(K29:K33)</x:f>
        <x:v>21</x:v>
      </x:c>
      <x:c r="L34" s="38"/>
    </x:row>
    <x:row r="35" s="14" customFormat="1" ht="17.25">
      <x:c r="A35" s="83" t="str">
        <x:v>소계퍼센테이지</x:v>
      </x:c>
      <x:c r="B35" s="84"/>
      <x:c r="C35" s="84"/>
      <x:c r="D35" s="84"/>
      <x:c r="E35" s="565" t="n">
        <x:f>IF($K$34=0,0,E34/$K$34)</x:f>
        <x:v>0.2857142857142857</x:v>
      </x:c>
      <x:c r="F35" s="565" t="n">
        <x:f>IF($K$34=0,0,F34/$K$34)</x:f>
        <x:v>0.3333333333333333</x:v>
      </x:c>
      <x:c r="G35" s="565" t="n">
        <x:f>IF($K$34=0,0,G34/$K$34)</x:f>
        <x:v>0.047619047619047616</x:v>
      </x:c>
      <x:c r="H35" s="565" t="n">
        <x:f>IF($K$34=0,0,H34/$K$34)</x:f>
        <x:v>0</x:v>
      </x:c>
      <x:c r="I35" s="565" t="n">
        <x:f>IF($K$34=0,0,I34/$K$34)</x:f>
        <x:v>0.14285714285714285</x:v>
      </x:c>
      <x:c r="J35" s="565" t="n">
        <x:f>IF($K$34=0,0,J34/$K$34)</x:f>
        <x:v>0.19047619047619047</x:v>
      </x:c>
      <x:c r="K35" s="565" t="n">
        <x:f>IF($K$34=0,0,K34/$K$34)</x:f>
        <x:v>1</x:v>
      </x:c>
      <x:c r="L35" s="84"/>
    </x:row>
    <x:row r="36">
      <x:c r="A36" s="108" t="str">
        <x:v>동부</x:v>
      </x:c>
      <x:c r="B36" s="110" t="str">
        <x:v>이천한양</x:v>
      </x:c>
      <x:c r="C36" s="110" t="str">
        <x:v>주식회사 현성건설</x:v>
      </x:c>
      <x:c r="D36" s="110" t="str">
        <x:v>현성</x:v>
      </x:c>
      <x:c r="E36" s="98" t="n">
        <x:v>0</x:v>
      </x:c>
      <x:c r="F36" s="98" t="n">
        <x:v>2</x:v>
      </x:c>
      <x:c r="G36" s="98" t="n">
        <x:v>0</x:v>
      </x:c>
      <x:c r="H36" s="98" t="n">
        <x:v>0</x:v>
      </x:c>
      <x:c r="I36" s="98" t="n">
        <x:v>0</x:v>
      </x:c>
      <x:c r="J36" s="98" t="n">
        <x:v>2</x:v>
      </x:c>
      <x:c r="K36" s="98" t="n">
        <x:v>0</x:v>
      </x:c>
      <x:c r="L36" s="110" t="str">
        <x:v>통계제외</x:v>
      </x:c>
    </x:row>
    <x:row r="37">
      <x:c r="A37" s="115" t="str">
        <x:v>동부</x:v>
      </x:c>
      <x:c r="B37" s="115" t="str">
        <x:v>요진건설</x:v>
      </x:c>
      <x:c r="C37" s="115" t="str">
        <x:v>주식회사 한산타워</x:v>
      </x:c>
      <x:c r="D37" s="115"/>
      <x:c r="E37" s="537" t="n">
        <x:v>1</x:v>
      </x:c>
      <x:c r="F37" s="537" t="n">
        <x:v>1</x:v>
      </x:c>
      <x:c r="G37" s="537" t="n">
        <x:v>0</x:v>
      </x:c>
      <x:c r="H37" s="537" t="n">
        <x:v>0</x:v>
      </x:c>
      <x:c r="I37" s="537" t="n">
        <x:v>0</x:v>
      </x:c>
      <x:c r="J37" s="537" t="n">
        <x:v>0</x:v>
      </x:c>
      <x:c r="K37" s="548" t="n">
        <x:v>2</x:v>
      </x:c>
      <x:c r="L37" s="118"/>
    </x:row>
    <x:row r="38">
      <x:c r="A38" s="151" t="str">
        <x:v>동부</x:v>
      </x:c>
      <x:c r="B38" s="151" t="str">
        <x:v>홍문2지구 공동주택</x:v>
      </x:c>
      <x:c r="C38" s="151" t="str">
        <x:v>(주)한진</x:v>
      </x:c>
      <x:c r="D38" s="151"/>
      <x:c r="E38" s="551" t="n">
        <x:v>1</x:v>
      </x:c>
      <x:c r="F38" s="551" t="n">
        <x:v>1</x:v>
      </x:c>
      <x:c r="G38" s="551"/>
      <x:c r="H38" s="551"/>
      <x:c r="I38" s="551"/>
      <x:c r="J38" s="551" t="n">
        <x:v>2</x:v>
      </x:c>
      <x:c r="K38" s="539" t="n">
        <x:v>4</x:v>
      </x:c>
      <x:c r="L38" s="119"/>
    </x:row>
    <x:row r="39">
      <x:c r="A39" s="154" t="str">
        <x:v>동부</x:v>
      </x:c>
      <x:c r="B39" s="154" t="str">
        <x:v>이천 증포5지구 칸타빌 에듀파크 신축공사</x:v>
      </x:c>
      <x:c r="C39" s="154" t="str">
        <x:v>국제산업렌탈(주)</x:v>
      </x:c>
      <x:c r="D39" s="154"/>
      <x:c r="E39" s="542" t="n">
        <x:v>1</x:v>
      </x:c>
      <x:c r="F39" s="542" t="n">
        <x:v>2</x:v>
      </x:c>
      <x:c r="G39" s="542" t="n">
        <x:v>0</x:v>
      </x:c>
      <x:c r="H39" s="542" t="n">
        <x:v>0</x:v>
      </x:c>
      <x:c r="I39" s="542" t="n">
        <x:v>0</x:v>
      </x:c>
      <x:c r="J39" s="542" t="n">
        <x:v>0</x:v>
      </x:c>
      <x:c r="K39" s="543" t="n">
        <x:f>SUM(E39:J39)</x:f>
        <x:v>3</x:v>
      </x:c>
      <x:c r="L39" s="82"/>
    </x:row>
    <x:row r="40">
      <x:c r="A40" s="43" t="str">
        <x:v>동부</x:v>
      </x:c>
      <x:c r="B40" s="43" t="str">
        <x:v>경안2지구 도시개발사업 주상복합 신축공사</x:v>
      </x:c>
      <x:c r="C40" s="43" t="str">
        <x:v>(주)예림타워</x:v>
      </x:c>
      <x:c r="D40" s="88"/>
      <x:c r="E40" s="542" t="n">
        <x:v>1</x:v>
      </x:c>
      <x:c r="F40" s="542" t="n">
        <x:v>1</x:v>
      </x:c>
      <x:c r="G40" s="542" t="n">
        <x:v>0</x:v>
      </x:c>
      <x:c r="H40" s="542" t="n">
        <x:v>0</x:v>
      </x:c>
      <x:c r="I40" s="542" t="n">
        <x:v>0</x:v>
      </x:c>
      <x:c r="J40" s="542" t="n">
        <x:v>0</x:v>
      </x:c>
      <x:c r="K40" s="543" t="n">
        <x:v>2</x:v>
      </x:c>
      <x:c r="L40" s="82"/>
    </x:row>
    <x:row r="41">
      <x:c r="A41" s="43" t="str">
        <x:v>동부지부 소계</x:v>
      </x:c>
      <x:c r="B41" s="43"/>
      <x:c r="C41" s="43"/>
      <x:c r="D41" s="43"/>
      <x:c r="E41" s="542" t="n">
        <x:f>SUM(E37:E40)</x:f>
        <x:v>4</x:v>
      </x:c>
      <x:c r="F41" s="542" t="n">
        <x:f>SUM(F37:F40)</x:f>
        <x:v>5</x:v>
      </x:c>
      <x:c r="G41" s="542" t="n">
        <x:f>SUM(G37:G40)</x:f>
        <x:v>0</x:v>
      </x:c>
      <x:c r="H41" s="542" t="n">
        <x:f>SUM(H37:H40)</x:f>
        <x:v>0</x:v>
      </x:c>
      <x:c r="I41" s="542" t="n">
        <x:f>SUM(I37:I40)</x:f>
        <x:v>0</x:v>
      </x:c>
      <x:c r="J41" s="542" t="n">
        <x:f>SUM(J37:J40)</x:f>
        <x:v>2</x:v>
      </x:c>
      <x:c r="K41" s="543" t="n">
        <x:f>SUM(K37:K40)</x:f>
        <x:v>11</x:v>
      </x:c>
      <x:c r="L41" s="82"/>
    </x:row>
    <x:row r="42">
      <x:c r="A42" s="43" t="str">
        <x:v>소계퍼센테이지</x:v>
      </x:c>
      <x:c r="B42" s="43"/>
      <x:c r="C42" s="43"/>
      <x:c r="D42" s="43"/>
      <x:c r="E42" s="102" t="n">
        <x:f>IF($K$41=0,0,E41/$K$41)</x:f>
        <x:v>0.36363636363636365</x:v>
      </x:c>
      <x:c r="F42" s="102" t="n">
        <x:f>IF($K$41=0,0,F41/$K$41)</x:f>
        <x:v>0.45454545454545453</x:v>
      </x:c>
      <x:c r="G42" s="102" t="n">
        <x:f>IF($K$41=0,0,G41/$K$41)</x:f>
        <x:v>0</x:v>
      </x:c>
      <x:c r="H42" s="102" t="n">
        <x:f>IF($K$41=0,0,H41/$K$41)</x:f>
        <x:v>0</x:v>
      </x:c>
      <x:c r="I42" s="102" t="n">
        <x:f>IF($K$41=0,0,I41/$K$41)</x:f>
        <x:v>0</x:v>
      </x:c>
      <x:c r="J42" s="102" t="n">
        <x:f>IF($K$41=0,0,J41/$K$41)</x:f>
        <x:v>0.18181818181818182</x:v>
      </x:c>
      <x:c r="K42" s="103" t="n">
        <x:f>IF($K$41=0,0,K41/$K$41)</x:f>
        <x:v>1</x:v>
      </x:c>
      <x:c r="L42" s="82"/>
    </x:row>
    <x:row r="43">
      <x:c r="A43" s="43" t="str">
        <x:v>서부</x:v>
      </x:c>
      <x:c r="B43" s="43" t="str">
        <x:v>안산프로젝트팀부크(현대건설)</x:v>
      </x:c>
      <x:c r="C43" s="43" t="str">
        <x:v>주식회사 한불타워</x:v>
      </x:c>
      <x:c r="D43" s="43"/>
      <x:c r="E43" s="542" t="n">
        <x:v>1</x:v>
      </x:c>
      <x:c r="F43" s="542" t="n">
        <x:v>1</x:v>
      </x:c>
      <x:c r="G43" s="542" t="n">
        <x:v>0</x:v>
      </x:c>
      <x:c r="H43" s="542" t="n">
        <x:v>0</x:v>
      </x:c>
      <x:c r="I43" s="542" t="n">
        <x:v>0</x:v>
      </x:c>
      <x:c r="J43" s="542" t="n">
        <x:v>0</x:v>
      </x:c>
      <x:c r="K43" s="543" t="n">
        <x:v>2</x:v>
      </x:c>
      <x:c r="L43" s="82"/>
    </x:row>
    <x:row r="44">
      <x:c r="A44" s="38" t="str">
        <x:v>서부</x:v>
      </x:c>
      <x:c r="B44" s="38" t="str">
        <x:v>안산글로벌클라우드(삼성물산)</x:v>
      </x:c>
      <x:c r="C44" s="38" t="str">
        <x:v>정호개발주식회사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0</x:v>
      </x:c>
      <x:c r="J44" s="540" t="n">
        <x:v>0</x:v>
      </x:c>
      <x:c r="K44" s="540" t="n">
        <x:v>2</x:v>
      </x:c>
      <x:c r="L44" s="38"/>
    </x:row>
    <x:row r="45" s="14" customFormat="1">
      <x:c r="A45" s="38" t="str">
        <x:v>서부</x:v>
      </x:c>
      <x:c r="B45" s="38" t="str">
        <x:v>하중지구 한신공영</x:v>
      </x:c>
      <x:c r="C45" s="38" t="str">
        <x:v>(주)신화중공업</x:v>
      </x:c>
      <x:c r="D45" s="38"/>
      <x:c r="E45" s="540" t="n">
        <x:v>1</x:v>
      </x:c>
      <x:c r="F45" s="540" t="n">
        <x:v>1</x:v>
      </x:c>
      <x:c r="G45" s="540" t="n">
        <x:v>0</x:v>
      </x:c>
      <x:c r="H45" s="540" t="n">
        <x:v>0</x:v>
      </x:c>
      <x:c r="I45" s="540" t="n">
        <x:v>2</x:v>
      </x:c>
      <x:c r="J45" s="540" t="n">
        <x:v>0</x:v>
      </x:c>
      <x:c r="K45" s="540" t="n">
        <x:v>4</x:v>
      </x:c>
      <x:c r="L45" s="38"/>
    </x:row>
    <x:row r="46" s="14" customFormat="1" ht="17.25">
      <x:c r="A46" s="83" t="str">
        <x:v>서부</x:v>
      </x:c>
      <x:c r="B46" s="84" t="str">
        <x:v>하중지구 양우건설</x:v>
      </x:c>
      <x:c r="C46" s="84" t="str">
        <x:v>(주)진성타워</x:v>
      </x:c>
      <x:c r="D46" s="84"/>
      <x:c r="E46" s="545" t="n">
        <x:v>0</x:v>
      </x:c>
      <x:c r="F46" s="545" t="n">
        <x:v>2</x:v>
      </x:c>
      <x:c r="G46" s="545" t="n">
        <x:v>0</x:v>
      </x:c>
      <x:c r="H46" s="545" t="n">
        <x:v>0</x:v>
      </x:c>
      <x:c r="I46" s="545" t="n">
        <x:v>1</x:v>
      </x:c>
      <x:c r="J46" s="545" t="n">
        <x:v>0</x:v>
      </x:c>
      <x:c r="K46" s="545" t="n">
        <x:v>3</x:v>
      </x:c>
      <x:c r="L46" s="84"/>
    </x:row>
    <x:row r="47" ht="17.25">
      <x:c r="A47" s="43" t="str">
        <x:v>서부</x:v>
      </x:c>
      <x:c r="B47" s="38" t="str">
        <x:v>시흥거모지구 S-2BL,B-2BL(대방산업개발)</x:v>
      </x:c>
      <x:c r="C47" s="38" t="str">
        <x:v>주식회사 우정타워</x:v>
      </x:c>
      <x:c r="D47" s="38"/>
      <x:c r="E47" s="552" t="n">
        <x:v>1</x:v>
      </x:c>
      <x:c r="F47" s="552" t="n">
        <x:v>2</x:v>
      </x:c>
      <x:c r="G47" s="552" t="n">
        <x:v>0</x:v>
      </x:c>
      <x:c r="H47" s="552" t="n">
        <x:v>0</x:v>
      </x:c>
      <x:c r="I47" s="552" t="n">
        <x:v>2</x:v>
      </x:c>
      <x:c r="J47" s="552" t="n">
        <x:v>0</x:v>
      </x:c>
      <x:c r="K47" s="553" t="n">
        <x:v>5</x:v>
      </x:c>
      <x:c r="L47" s="38"/>
    </x:row>
    <x:row r="48">
      <x:c r="A48" s="108" t="str">
        <x:v>서부</x:v>
      </x:c>
      <x:c r="B48" s="108" t="str">
        <x:v>배곧서울대학교병원</x:v>
      </x:c>
      <x:c r="C48" s="108" t="str">
        <x:v>(주)타워링</x:v>
      </x:c>
      <x:c r="D48" s="108"/>
      <x:c r="E48" s="545" t="n">
        <x:v>1</x:v>
      </x:c>
      <x:c r="F48" s="545" t="n">
        <x:v>1</x:v>
      </x:c>
      <x:c r="G48" s="545" t="n">
        <x:v>0</x:v>
      </x:c>
      <x:c r="H48" s="545" t="n">
        <x:v>0</x:v>
      </x:c>
      <x:c r="I48" s="545" t="n">
        <x:v>0</x:v>
      </x:c>
      <x:c r="J48" s="545" t="n">
        <x:v>0</x:v>
      </x:c>
      <x:c r="K48" s="554" t="n">
        <x:v>2</x:v>
      </x:c>
      <x:c r="L48" s="111"/>
    </x:row>
    <x:row r="49" s="14" customFormat="1" ht="17.25">
      <x:c r="A49" s="115" t="str">
        <x:v>서부</x:v>
      </x:c>
      <x:c r="B49" s="115" t="str">
        <x:v>시흥하중 A-1BL 공동주택 건설공사</x:v>
      </x:c>
      <x:c r="C49" s="115" t="str">
        <x:v>(주)규람타워렌탈</x:v>
      </x:c>
      <x:c r="D49" s="121"/>
      <x:c r="E49" s="537" t="n">
        <x:v>1</x:v>
      </x:c>
      <x:c r="F49" s="537" t="n">
        <x:v>2</x:v>
      </x:c>
      <x:c r="G49" s="537" t="n">
        <x:v>1</x:v>
      </x:c>
      <x:c r="H49" s="537" t="n">
        <x:v>0</x:v>
      </x:c>
      <x:c r="I49" s="537" t="n">
        <x:v>0</x:v>
      </x:c>
      <x:c r="J49" s="537" t="n">
        <x:v>0</x:v>
      </x:c>
      <x:c r="K49" s="548" t="n">
        <x:v>4</x:v>
      </x:c>
      <x:c r="L49" s="118"/>
    </x:row>
    <x:row r="50">
      <x:c r="A50" s="151" t="str">
        <x:v>서부</x:v>
      </x:c>
      <x:c r="B50" s="151" t="str">
        <x:v>시흥시 거모지구 B-1블록 공동주택 신축공사</x:v>
      </x:c>
      <x:c r="C50" s="151" t="str">
        <x:v>주식회사 필웍스</x:v>
      </x:c>
      <x:c r="D50" s="155"/>
      <x:c r="E50" s="551" t="n">
        <x:v>1</x:v>
      </x:c>
      <x:c r="F50" s="551" t="n">
        <x:v>2</x:v>
      </x:c>
      <x:c r="G50" s="551" t="n">
        <x:v>1</x:v>
      </x:c>
      <x:c r="H50" s="551" t="n">
        <x:v>0</x:v>
      </x:c>
      <x:c r="I50" s="551" t="n">
        <x:v>0</x:v>
      </x:c>
      <x:c r="J50" s="551" t="n">
        <x:v>0</x:v>
      </x:c>
      <x:c r="K50" s="539" t="n">
        <x:v>4</x:v>
      </x:c>
      <x:c r="L50" s="119"/>
    </x:row>
    <x:row r="51" ht="29.25">
      <x:c r="A51" s="154" t="str">
        <x:v>서부</x:v>
      </x:c>
      <x:c r="B51" s="154" t="str">
        <x:v>시흥거모 B-6BL 모아엘가&amp;대광로제비앙 공동주택 신축공사</x:v>
      </x:c>
      <x:c r="C51" s="154" t="str">
        <x:v>(주)금강건기</x:v>
      </x:c>
      <x:c r="D51" s="156"/>
      <x:c r="E51" s="555" t="n">
        <x:v>1</x:v>
      </x:c>
      <x:c r="F51" s="555" t="n">
        <x:v>2</x:v>
      </x:c>
      <x:c r="G51" s="555" t="n">
        <x:v>0</x:v>
      </x:c>
      <x:c r="H51" s="555" t="n">
        <x:v>0</x:v>
      </x:c>
      <x:c r="I51" s="555" t="n">
        <x:v>1</x:v>
      </x:c>
      <x:c r="J51" s="555" t="n">
        <x:v>0</x:v>
      </x:c>
      <x:c r="K51" s="543" t="n">
        <x:v>4</x:v>
      </x:c>
      <x:c r="L51" s="82"/>
    </x:row>
    <x:row r="52">
      <x:c r="A52" s="43" t="str">
        <x:v>서부</x:v>
      </x:c>
      <x:c r="B52" s="43" t="str">
        <x:v>시화MTV 지하주차장</x:v>
      </x:c>
      <x:c r="C52" s="43" t="str">
        <x:v>(주)우리기계산업</x:v>
      </x:c>
      <x:c r="D52" s="43"/>
      <x:c r="E52" s="542" t="n">
        <x:v>1</x:v>
      </x:c>
      <x:c r="F52" s="542" t="n">
        <x:v>1</x:v>
      </x:c>
      <x:c r="G52" s="542" t="n">
        <x:v>0</x:v>
      </x:c>
      <x:c r="H52" s="542" t="n">
        <x:v>1</x:v>
      </x:c>
      <x:c r="I52" s="542" t="n">
        <x:v>0</x:v>
      </x:c>
      <x:c r="J52" s="542" t="n">
        <x:v>0</x:v>
      </x:c>
      <x:c r="K52" s="543" t="n">
        <x:f>SUM(E52:J52)</x:f>
        <x:v>3</x:v>
      </x:c>
      <x:c r="L52" s="82" t="str">
        <x:v>원청사: 강산건설(주)</x:v>
      </x:c>
    </x:row>
    <x:row r="53">
      <x:c r="A53" s="43" t="str">
        <x:v>서부지부 소계</x:v>
      </x:c>
      <x:c r="B53" s="43"/>
      <x:c r="C53" s="43"/>
      <x:c r="D53" s="43"/>
      <x:c r="E53" s="542" t="n">
        <x:f>SUM(E43:E52)</x:f>
        <x:v>9</x:v>
      </x:c>
      <x:c r="F53" s="542" t="n">
        <x:f>SUM(F43:F52)</x:f>
        <x:v>15</x:v>
      </x:c>
      <x:c r="G53" s="542" t="n">
        <x:f>SUM(G43:G52)</x:f>
        <x:v>2</x:v>
      </x:c>
      <x:c r="H53" s="542" t="n">
        <x:f>SUM(H43:H52)</x:f>
        <x:v>1</x:v>
      </x:c>
      <x:c r="I53" s="542" t="n">
        <x:f>SUM(I43:I52)</x:f>
        <x:v>6</x:v>
      </x:c>
      <x:c r="J53" s="542" t="n">
        <x:f>SUM(J43:J52)</x:f>
        <x:v>0</x:v>
      </x:c>
      <x:c r="K53" s="543" t="n">
        <x:f>SUM(K43:K52)</x:f>
        <x:v>33</x:v>
      </x:c>
      <x:c r="L53" s="82"/>
    </x:row>
    <x:row r="54">
      <x:c r="A54" s="43" t="str">
        <x:v>소계퍼센테이지</x:v>
      </x:c>
      <x:c r="B54" s="43"/>
      <x:c r="C54" s="43"/>
      <x:c r="D54" s="43"/>
      <x:c r="E54" s="102" t="n">
        <x:f>IF($K$53=0,0,E53/$K$53)</x:f>
        <x:v>0.2727272727272727</x:v>
      </x:c>
      <x:c r="F54" s="102" t="n">
        <x:f>IF($K$53=0,0,F53/$K$53)</x:f>
        <x:v>0.45454545454545453</x:v>
      </x:c>
      <x:c r="G54" s="102" t="n">
        <x:f>IF($K$53=0,0,G53/$K$53)</x:f>
        <x:v>0.06060606060606061</x:v>
      </x:c>
      <x:c r="H54" s="102" t="n">
        <x:f>IF($K$53=0,0,H53/$K$53)</x:f>
        <x:v>0.030303030303030304</x:v>
      </x:c>
      <x:c r="I54" s="102" t="n">
        <x:f>IF($K$53=0,0,I53/$K$53)</x:f>
        <x:v>0.18181818181818182</x:v>
      </x:c>
      <x:c r="J54" s="102" t="n">
        <x:f>IF($K$53=0,0,J53/$K$53)</x:f>
        <x:v>0</x:v>
      </x:c>
      <x:c r="K54" s="103" t="n">
        <x:f>IF($K$53=0,0,K53/$K$53)</x:f>
        <x:v>1</x:v>
      </x:c>
      <x:c r="L54" s="82"/>
    </x:row>
    <x:row r="55">
      <x:c r="A55" s="43" t="str">
        <x:v>북서</x:v>
      </x:c>
      <x:c r="B55" s="43" t="str">
        <x:v>군포시 SGC건설</x:v>
      </x:c>
      <x:c r="C55" s="43" t="str">
        <x:v>(주)한백산업</x:v>
      </x:c>
      <x:c r="D55" s="43"/>
      <x:c r="E55" s="542" t="n">
        <x:v>2</x:v>
      </x:c>
      <x:c r="F55" s="542" t="n">
        <x:v>3</x:v>
      </x:c>
      <x:c r="G55" s="542" t="n">
        <x:v>1</x:v>
      </x:c>
      <x:c r="H55" s="542" t="n">
        <x:v>0</x:v>
      </x:c>
      <x:c r="I55" s="542" t="n">
        <x:v>1</x:v>
      </x:c>
      <x:c r="J55" s="542" t="n">
        <x:v>0</x:v>
      </x:c>
      <x:c r="K55" s="543" t="n">
        <x:v>7</x:v>
      </x:c>
      <x:c r="L55" s="82"/>
    </x:row>
    <x:row r="56" s="14" customFormat="1" ht="17.25">
      <x:c r="A56" s="43" t="str">
        <x:v>북서</x:v>
      </x:c>
      <x:c r="B56" s="43" t="str">
        <x:v>관양동 DL이앤씨</x:v>
      </x:c>
      <x:c r="C56" s="43" t="str">
        <x:v>(주)한백산업</x:v>
      </x:c>
      <x:c r="D56" s="43"/>
      <x:c r="E56" s="542" t="n">
        <x:v>2</x:v>
      </x:c>
      <x:c r="F56" s="542" t="n">
        <x:v>3</x:v>
      </x:c>
      <x:c r="G56" s="542" t="n">
        <x:v>0</x:v>
      </x:c>
      <x:c r="H56" s="542" t="n">
        <x:v>0</x:v>
      </x:c>
      <x:c r="I56" s="542" t="n">
        <x:v>1</x:v>
      </x:c>
      <x:c r="J56" s="542" t="n">
        <x:v>0</x:v>
      </x:c>
      <x:c r="K56" s="543" t="n">
        <x:v>6</x:v>
      </x:c>
      <x:c r="L56" s="38"/>
    </x:row>
    <x:row r="57" s="14" customFormat="1">
      <x:c r="A57" s="89" t="str">
        <x:v>북서</x:v>
      </x:c>
      <x:c r="B57" s="89" t="str">
        <x:v>관양동 DL이앤씨</x:v>
      </x:c>
      <x:c r="C57" s="89" t="str">
        <x:v>벽산중기산업주식회사</x:v>
      </x:c>
      <x:c r="D57" s="70"/>
      <x:c r="E57" s="556" t="n">
        <x:v>1</x:v>
      </x:c>
      <x:c r="F57" s="556" t="n">
        <x:v>1</x:v>
      </x:c>
      <x:c r="G57" s="556" t="n">
        <x:v>0</x:v>
      </x:c>
      <x:c r="H57" s="556" t="n">
        <x:v>0</x:v>
      </x:c>
      <x:c r="I57" s="556" t="n">
        <x:v>0</x:v>
      </x:c>
      <x:c r="J57" s="556" t="n">
        <x:v>0</x:v>
      </x:c>
      <x:c r="K57" s="556" t="n">
        <x:v>2</x:v>
      </x:c>
      <x:c r="L57" s="70"/>
    </x:row>
    <x:row r="58" s="14" customFormat="1" ht="17.25">
      <x:c r="A58" s="83" t="str">
        <x:v>북서</x:v>
      </x:c>
      <x:c r="B58" s="84" t="str">
        <x:v>의왕청계 시티건설</x:v>
      </x:c>
      <x:c r="C58" s="84" t="str">
        <x:v>주식회사 우정타워</x:v>
      </x:c>
      <x:c r="D58" s="84"/>
      <x:c r="E58" s="545" t="n">
        <x:v>1</x:v>
      </x:c>
      <x:c r="F58" s="545" t="n">
        <x:v>1</x:v>
      </x:c>
      <x:c r="G58" s="545" t="n">
        <x:v>0</x:v>
      </x:c>
      <x:c r="H58" s="545" t="n">
        <x:v>0</x:v>
      </x:c>
      <x:c r="I58" s="545" t="n">
        <x:v>0</x:v>
      </x:c>
      <x:c r="J58" s="545" t="n">
        <x:v>0</x:v>
      </x:c>
      <x:c r="K58" s="545" t="n">
        <x:v>2</x:v>
      </x:c>
      <x:c r="L58" s="84"/>
    </x:row>
    <x:row r="59" ht="17.25">
      <x:c r="A59" s="43" t="str">
        <x:v>북서</x:v>
      </x:c>
      <x:c r="B59" s="38" t="str">
        <x:v>과천 태왕</x:v>
      </x:c>
      <x:c r="C59" s="38" t="str">
        <x:v>주식회사 비엠케이</x:v>
      </x:c>
      <x:c r="D59" s="38"/>
      <x:c r="E59" s="552" t="n">
        <x:v>1</x:v>
      </x:c>
      <x:c r="F59" s="552" t="n">
        <x:v>2</x:v>
      </x:c>
      <x:c r="G59" s="552" t="n">
        <x:v>1</x:v>
      </x:c>
      <x:c r="H59" s="552" t="n">
        <x:v>1</x:v>
      </x:c>
      <x:c r="I59" s="552" t="n">
        <x:v>1</x:v>
      </x:c>
      <x:c r="J59" s="552" t="n">
        <x:v>0</x:v>
      </x:c>
      <x:c r="K59" s="553" t="n">
        <x:v>6</x:v>
      </x:c>
      <x:c r="L59" s="38"/>
    </x:row>
    <x:row r="60" s="14" customFormat="1" ht="17.25">
      <x:c r="A60" s="108" t="str">
        <x:v>북서</x:v>
      </x:c>
      <x:c r="B60" s="108" t="str">
        <x:v>과천 주암동 디에이치 아델스타(현대건설)</x:v>
      </x:c>
      <x:c r="C60" s="108" t="str">
        <x:v>(주)국영타워랜드</x:v>
      </x:c>
      <x:c r="D60" s="108"/>
      <x:c r="E60" s="545" t="n">
        <x:v>1</x:v>
      </x:c>
      <x:c r="F60" s="545" t="n">
        <x:v>3</x:v>
      </x:c>
      <x:c r="G60" s="545" t="n">
        <x:v>0</x:v>
      </x:c>
      <x:c r="H60" s="545" t="n">
        <x:v>0</x:v>
      </x:c>
      <x:c r="I60" s="545" t="n">
        <x:v>1</x:v>
      </x:c>
      <x:c r="J60" s="545" t="n">
        <x:v>0</x:v>
      </x:c>
      <x:c r="K60" s="554" t="n">
        <x:v>5</x:v>
      </x:c>
      <x:c r="L60" s="111"/>
    </x:row>
    <x:row r="61" s="14" customFormat="1" ht="17.25">
      <x:c r="A61" s="115" t="str">
        <x:v>북서</x:v>
      </x:c>
      <x:c r="B61" s="115" t="str">
        <x:v>안양 샘병원</x:v>
      </x:c>
      <x:c r="C61" s="115" t="str">
        <x:v>주식회사 가람타워</x:v>
      </x:c>
      <x:c r="D61" s="115"/>
      <x:c r="E61" s="537" t="n">
        <x:v>1</x:v>
      </x:c>
      <x:c r="F61" s="537" t="n">
        <x:v>0</x:v>
      </x:c>
      <x:c r="G61" s="537" t="n">
        <x:v>0</x:v>
      </x:c>
      <x:c r="H61" s="537" t="n">
        <x:v>0</x:v>
      </x:c>
      <x:c r="I61" s="537" t="n">
        <x:v>0</x:v>
      </x:c>
      <x:c r="J61" s="537" t="n">
        <x:v>0</x:v>
      </x:c>
      <x:c r="K61" s="548" t="n">
        <x:v>1</x:v>
      </x:c>
      <x:c r="L61" s="118"/>
    </x:row>
    <x:row r="62" s="14" customFormat="1" ht="17.25">
      <x:c r="A62" s="151" t="str">
        <x:v>북서</x:v>
      </x:c>
      <x:c r="B62" s="151" t="str">
        <x:v>안양 박달동 신안아파트 재건축(현대산업개발)</x:v>
      </x:c>
      <x:c r="C62" s="151" t="str">
        <x:v>주식회사 비엠케이</x:v>
      </x:c>
      <x:c r="D62" s="151"/>
      <x:c r="E62" s="551" t="n">
        <x:v>1</x:v>
      </x:c>
      <x:c r="F62" s="551" t="n">
        <x:v>2</x:v>
      </x:c>
      <x:c r="G62" s="551" t="n">
        <x:v>0</x:v>
      </x:c>
      <x:c r="H62" s="551" t="n">
        <x:v>0</x:v>
      </x:c>
      <x:c r="I62" s="551" t="n">
        <x:v>1</x:v>
      </x:c>
      <x:c r="J62" s="551" t="n">
        <x:v>0</x:v>
      </x:c>
      <x:c r="K62" s="539" t="n">
        <x:v>4</x:v>
      </x:c>
      <x:c r="L62" s="119"/>
    </x:row>
    <x:row r="63">
      <x:c r="A63" s="157" t="str">
        <x:v>북서</x:v>
      </x:c>
      <x:c r="B63" s="157" t="str">
        <x:v>안양역세권지구 재개발정비사업(현대산업개발)</x:v>
      </x:c>
      <x:c r="C63" s="157" t="str">
        <x:v>오투기계산업(주)</x:v>
      </x:c>
      <x:c r="D63" s="156"/>
      <x:c r="E63" s="555" t="n">
        <x:v>1</x:v>
      </x:c>
      <x:c r="F63" s="555" t="n">
        <x:v>2</x:v>
      </x:c>
      <x:c r="G63" s="555" t="n">
        <x:v>0</x:v>
      </x:c>
      <x:c r="H63" s="555" t="n">
        <x:v>0</x:v>
      </x:c>
      <x:c r="I63" s="555" t="n">
        <x:v>1</x:v>
      </x:c>
      <x:c r="J63" s="555" t="n">
        <x:v>0</x:v>
      </x:c>
      <x:c r="K63" s="543" t="n">
        <x:v>4</x:v>
      </x:c>
      <x:c r="L63" s="87"/>
    </x:row>
    <x:row r="64">
      <x:c r="A64" s="43" t="str">
        <x:v>북서</x:v>
      </x:c>
      <x:c r="B64" s="43" t="str">
        <x:v>관양동 오피스텔 신축공사</x:v>
      </x:c>
      <x:c r="C64" s="43" t="str">
        <x:v>(주)유건설 (단종계약)</x:v>
      </x:c>
      <x:c r="D64" s="88"/>
      <x:c r="E64" s="542" t="n">
        <x:v>1</x:v>
      </x:c>
      <x:c r="F64" s="542" t="n">
        <x:v>0</x:v>
      </x:c>
      <x:c r="G64" s="542" t="n">
        <x:v>0</x:v>
      </x:c>
      <x:c r="H64" s="542" t="n">
        <x:v>0</x:v>
      </x:c>
      <x:c r="I64" s="542" t="n">
        <x:v>0</x:v>
      </x:c>
      <x:c r="J64" s="542" t="n">
        <x:v>0</x:v>
      </x:c>
      <x:c r="K64" s="543" t="n">
        <x:f>SUM(E64:J64)</x:f>
        <x:v>1</x:v>
      </x:c>
      <x:c r="L64" s="82"/>
    </x:row>
    <x:row r="65">
      <x:c r="A65" s="43" t="str">
        <x:v>북서지부 소계</x:v>
      </x:c>
      <x:c r="B65" s="43"/>
      <x:c r="C65" s="43"/>
      <x:c r="D65" s="43"/>
      <x:c r="E65" s="542" t="n">
        <x:f>SUM(E55:E64)</x:f>
        <x:v>12</x:v>
      </x:c>
      <x:c r="F65" s="542" t="n">
        <x:f>SUM(F55:F64)</x:f>
        <x:v>17</x:v>
      </x:c>
      <x:c r="G65" s="542" t="n">
        <x:f>SUM(G55:G64)</x:f>
        <x:v>2</x:v>
      </x:c>
      <x:c r="H65" s="542" t="n">
        <x:f>SUM(H55:H64)</x:f>
        <x:v>1</x:v>
      </x:c>
      <x:c r="I65" s="542" t="n">
        <x:f>SUM(I55:I64)</x:f>
        <x:v>6</x:v>
      </x:c>
      <x:c r="J65" s="542" t="n">
        <x:f>SUM(J55:J64)</x:f>
        <x:v>0</x:v>
      </x:c>
      <x:c r="K65" s="543" t="n">
        <x:f>SUM(K55:K64)</x:f>
        <x:v>38</x:v>
      </x:c>
      <x:c r="L65" s="82"/>
    </x:row>
    <x:row r="66" s="14" customFormat="1" ht="17.25">
      <x:c r="A66" s="43" t="str">
        <x:v>소계퍼센테이지</x:v>
      </x:c>
      <x:c r="B66" s="43"/>
      <x:c r="C66" s="43"/>
      <x:c r="D66" s="43"/>
      <x:c r="E66" s="102" t="n">
        <x:f>IF($K$65=0,0,E65/$K$65)</x:f>
        <x:v>0.3157894736842105</x:v>
      </x:c>
      <x:c r="F66" s="102" t="n">
        <x:f>IF($K$65=0,0,F65/$K$65)</x:f>
        <x:v>0.4473684210526316</x:v>
      </x:c>
      <x:c r="G66" s="102" t="n">
        <x:f>IF($K$65=0,0,G65/$K$65)</x:f>
        <x:v>0.05263157894736842</x:v>
      </x:c>
      <x:c r="H66" s="102" t="n">
        <x:f>IF($K$65=0,0,H65/$K$65)</x:f>
        <x:v>0.02631578947368421</x:v>
      </x:c>
      <x:c r="I66" s="102" t="n">
        <x:f>IF($K$65=0,0,I65/$K$65)</x:f>
        <x:v>0.15789473684210525</x:v>
      </x:c>
      <x:c r="J66" s="102" t="n">
        <x:f>IF($K$65=0,0,J65/$K$65)</x:f>
        <x:v>0</x:v>
      </x:c>
      <x:c r="K66" s="103" t="n">
        <x:f>IF($K$65=0,0,K65/$K$65)</x:f>
        <x:v>1</x:v>
      </x:c>
      <x:c r="L66" s="38"/>
    </x:row>
    <x:row r="67" s="14" customFormat="1" ht="17.25">
      <x:c r="A67" s="43" t="str">
        <x:v>용인</x:v>
      </x:c>
      <x:c r="B67" s="43" t="str">
        <x:v>양지 대우 원클러스터</x:v>
      </x:c>
      <x:c r="C67" s="43" t="str">
        <x:v>(주)규람타워렌탈</x:v>
      </x:c>
      <x:c r="D67" s="43"/>
      <x:c r="E67" s="542" t="n">
        <x:v>1</x:v>
      </x:c>
      <x:c r="F67" s="542" t="n">
        <x:v>2</x:v>
      </x:c>
      <x:c r="G67" s="542" t="n">
        <x:v>0</x:v>
      </x:c>
      <x:c r="H67" s="542" t="n">
        <x:v>0</x:v>
      </x:c>
      <x:c r="I67" s="542" t="n">
        <x:v>1</x:v>
      </x:c>
      <x:c r="J67" s="542" t="n">
        <x:v>0</x:v>
      </x:c>
      <x:c r="K67" s="543" t="n">
        <x:v>4</x:v>
      </x:c>
      <x:c r="L67" s="38"/>
    </x:row>
    <x:row r="68" s="14" customFormat="1" ht="17.25">
      <x:c r="A68" s="43" t="str">
        <x:v>용인</x:v>
      </x:c>
      <x:c r="B68" s="43" t="str">
        <x:v>양지 SM경남 아너스빌</x:v>
      </x:c>
      <x:c r="C68" s="43" t="str">
        <x:v>주식회사 비엠케이</x:v>
      </x:c>
      <x:c r="D68" s="43"/>
      <x:c r="E68" s="542" t="n">
        <x:v>2</x:v>
      </x:c>
      <x:c r="F68" s="542" t="n">
        <x:v>1</x:v>
      </x:c>
      <x:c r="G68" s="542" t="n">
        <x:v>0</x:v>
      </x:c>
      <x:c r="H68" s="542" t="n">
        <x:v>1</x:v>
      </x:c>
      <x:c r="I68" s="542" t="n">
        <x:v>0</x:v>
      </x:c>
      <x:c r="J68" s="542" t="n">
        <x:v>0</x:v>
      </x:c>
      <x:c r="K68" s="543" t="n">
        <x:v>4</x:v>
      </x:c>
      <x:c r="L68" s="38"/>
    </x:row>
    <x:row r="69" s="14" customFormat="1">
      <x:c r="A69" s="38" t="str">
        <x:v>용인</x:v>
      </x:c>
      <x:c r="B69" s="38" t="str">
        <x:v>역북 푸르지오 클루센트(대우건설)</x:v>
      </x:c>
      <x:c r="C69" s="38" t="str">
        <x:v>벽산중기산업주식회사</x:v>
      </x:c>
      <x:c r="D69" s="38"/>
      <x:c r="E69" s="540" t="n">
        <x:v>1</x:v>
      </x:c>
      <x:c r="F69" s="540" t="n">
        <x:v>2</x:v>
      </x:c>
      <x:c r="G69" s="540" t="n">
        <x:v>0</x:v>
      </x:c>
      <x:c r="H69" s="540" t="n">
        <x:v>0</x:v>
      </x:c>
      <x:c r="I69" s="540" t="n">
        <x:v>1</x:v>
      </x:c>
      <x:c r="J69" s="540" t="n">
        <x:v>0</x:v>
      </x:c>
      <x:c r="K69" s="540" t="n">
        <x:v>4</x:v>
      </x:c>
      <x:c r="L69" s="38"/>
    </x:row>
    <x:row r="70" s="14" customFormat="1">
      <x:c r="A70" s="90" t="str">
        <x:v>용인</x:v>
      </x:c>
      <x:c r="B70" s="90" t="str">
        <x:v>고림 대광로제비앙</x:v>
      </x:c>
      <x:c r="C70" s="90" t="str">
        <x:v>주식회사 현성건설</x:v>
      </x:c>
      <x:c r="D70" s="90" t="str">
        <x:v>현성</x:v>
      </x:c>
      <x:c r="E70" s="557" t="n">
        <x:v>0</x:v>
      </x:c>
      <x:c r="F70" s="557" t="n">
        <x:v>3</x:v>
      </x:c>
      <x:c r="G70" s="557" t="n">
        <x:v>0</x:v>
      </x:c>
      <x:c r="H70" s="557" t="n">
        <x:v>1</x:v>
      </x:c>
      <x:c r="I70" s="557" t="n">
        <x:v>1</x:v>
      </x:c>
      <x:c r="J70" s="557" t="n">
        <x:v>0</x:v>
      </x:c>
      <x:c r="K70" s="557" t="n">
        <x:v>0</x:v>
      </x:c>
      <x:c r="L70" s="90" t="str">
        <x:v>통계제외</x:v>
      </x:c>
    </x:row>
    <x:row r="71" s="14" customFormat="1" ht="17.25">
      <x:c r="A71" s="69" t="str">
        <x:v>용인</x:v>
      </x:c>
      <x:c r="B71" s="69" t="str">
        <x:v>백암 오뚜기물류센타</x:v>
      </x:c>
      <x:c r="C71" s="69" t="str">
        <x:v>주식회사 가람타워</x:v>
      </x:c>
      <x:c r="D71" s="69"/>
      <x:c r="E71" s="534" t="n">
        <x:v>0</x:v>
      </x:c>
      <x:c r="F71" s="534" t="n">
        <x:v>1</x:v>
      </x:c>
      <x:c r="G71" s="534" t="n">
        <x:v>0</x:v>
      </x:c>
      <x:c r="H71" s="534" t="n">
        <x:v>1</x:v>
      </x:c>
      <x:c r="I71" s="534" t="n">
        <x:v>0</x:v>
      </x:c>
      <x:c r="J71" s="534" t="n">
        <x:v>0</x:v>
      </x:c>
      <x:c r="K71" s="534" t="n">
        <x:v>2</x:v>
      </x:c>
      <x:c r="L71" s="69"/>
    </x:row>
    <x:row r="72" s="14" customFormat="1" ht="17.25">
      <x:c r="A72" s="91" t="str">
        <x:v>용인</x:v>
      </x:c>
      <x:c r="B72" s="91" t="str">
        <x:v>마평동 여성복지회관</x:v>
      </x:c>
      <x:c r="C72" s="91" t="str">
        <x:v>(주)무기타워렌탈</x:v>
      </x:c>
      <x:c r="D72" s="91"/>
      <x:c r="E72" s="544" t="n">
        <x:v>0</x:v>
      </x:c>
      <x:c r="F72" s="544" t="n">
        <x:v>1</x:v>
      </x:c>
      <x:c r="G72" s="544" t="n">
        <x:v>0</x:v>
      </x:c>
      <x:c r="H72" s="544" t="n">
        <x:v>0</x:v>
      </x:c>
      <x:c r="I72" s="544" t="n">
        <x:v>0</x:v>
      </x:c>
      <x:c r="J72" s="544" t="n">
        <x:v>0</x:v>
      </x:c>
      <x:c r="K72" s="544" t="n">
        <x:v>1</x:v>
      </x:c>
      <x:c r="L72" s="92"/>
    </x:row>
    <x:row r="73">
      <x:c r="A73" s="93" t="str">
        <x:v>용인</x:v>
      </x:c>
      <x:c r="B73" s="93" t="str">
        <x:v>용인 라온프라이빗</x:v>
      </x:c>
      <x:c r="C73" s="93" t="str">
        <x:v>(주)우성건설기계</x:v>
      </x:c>
      <x:c r="D73" s="93"/>
      <x:c r="E73" s="558" t="n">
        <x:v>2</x:v>
      </x:c>
      <x:c r="F73" s="558" t="n">
        <x:v>1</x:v>
      </x:c>
      <x:c r="G73" s="558" t="n">
        <x:v>0</x:v>
      </x:c>
      <x:c r="H73" s="558" t="n">
        <x:v>0</x:v>
      </x:c>
      <x:c r="I73" s="558" t="n">
        <x:v>0</x:v>
      </x:c>
      <x:c r="J73" s="558" t="n">
        <x:v>0</x:v>
      </x:c>
      <x:c r="K73" s="558" t="n">
        <x:v>3</x:v>
      </x:c>
      <x:c r="L73" s="94"/>
    </x:row>
    <x:row r="74">
      <x:c r="A74" s="112" t="str">
        <x:v>용인</x:v>
      </x:c>
      <x:c r="B74" s="112" t="str">
        <x:v>용인덕성 AI데이터센터 신축공사</x:v>
      </x:c>
      <x:c r="C74" s="112" t="str">
        <x:v>(주)타워랜드</x:v>
      </x:c>
      <x:c r="D74" s="112"/>
      <x:c r="E74" s="559" t="n">
        <x:v>1</x:v>
      </x:c>
      <x:c r="F74" s="559" t="n">
        <x:v>2</x:v>
      </x:c>
      <x:c r="G74" s="559" t="n">
        <x:v>1</x:v>
      </x:c>
      <x:c r="H74" s="559" t="n">
        <x:v>0</x:v>
      </x:c>
      <x:c r="I74" s="559" t="n">
        <x:v>0</x:v>
      </x:c>
      <x:c r="J74" s="559" t="n">
        <x:v>0</x:v>
      </x:c>
      <x:c r="K74" s="559" t="n">
        <x:v>4</x:v>
      </x:c>
      <x:c r="L74" s="113"/>
    </x:row>
    <x:row r="75" s="14" customFormat="1">
      <x:c r="A75" s="122" t="str">
        <x:v>용인</x:v>
      </x:c>
      <x:c r="B75" s="122" t="str">
        <x:v>용인클러스터 상생협력시설(기숙사 1차)</x:v>
      </x:c>
      <x:c r="C75" s="122" t="str">
        <x:v>(주)규람타워렌탈</x:v>
      </x:c>
      <x:c r="D75" s="122" t="str">
        <x:v>원철규(미정3)</x:v>
      </x:c>
      <x:c r="E75" s="560" t="n">
        <x:v>1</x:v>
      </x:c>
      <x:c r="F75" s="560" t="n">
        <x:v>0</x:v>
      </x:c>
      <x:c r="G75" s="560" t="n">
        <x:v>0</x:v>
      </x:c>
      <x:c r="H75" s="560" t="n">
        <x:v>0</x:v>
      </x:c>
      <x:c r="I75" s="560" t="n">
        <x:v>1</x:v>
      </x:c>
      <x:c r="J75" s="560" t="n">
        <x:v>3</x:v>
      </x:c>
      <x:c r="K75" s="560" t="n">
        <x:v>5</x:v>
      </x:c>
      <x:c r="L75" s="123"/>
    </x:row>
    <x:row r="76" s="14" customFormat="1">
      <x:c r="A76" s="158" t="str">
        <x:v>용인</x:v>
      </x:c>
      <x:c r="B76" s="158" t="str">
        <x:v>수지자이에디시온</x:v>
      </x:c>
      <x:c r="C76" s="158" t="str">
        <x:v>(주)한진</x:v>
      </x:c>
      <x:c r="D76" s="158"/>
      <x:c r="E76" s="561" t="n">
        <x:v>1</x:v>
      </x:c>
      <x:c r="F76" s="561" t="n">
        <x:v>1</x:v>
      </x:c>
      <x:c r="G76" s="561" t="n">
        <x:v>0</x:v>
      </x:c>
      <x:c r="H76" s="561" t="n">
        <x:v>0</x:v>
      </x:c>
      <x:c r="I76" s="561" t="n">
        <x:v>1</x:v>
      </x:c>
      <x:c r="J76" s="561" t="n">
        <x:v>0</x:v>
      </x:c>
      <x:c r="K76" s="561" t="n">
        <x:v>3</x:v>
      </x:c>
      <x:c r="L76" s="124"/>
    </x:row>
    <x:row r="77" s="14" customFormat="1">
      <x:c r="A77" s="160" t="str">
        <x:v>용인</x:v>
      </x:c>
      <x:c r="B77" s="160" t="str">
        <x:v>기흥변전소</x:v>
      </x:c>
      <x:c r="C77" s="160" t="str">
        <x:v>(주)대원타워렌탈</x:v>
      </x:c>
      <x:c r="D77" s="160"/>
      <x:c r="E77" s="555" t="n">
        <x:v>0</x:v>
      </x:c>
      <x:c r="F77" s="555" t="n">
        <x:v>0</x:v>
      </x:c>
      <x:c r="G77" s="555" t="n">
        <x:v>0</x:v>
      </x:c>
      <x:c r="H77" s="555" t="n">
        <x:v>0</x:v>
      </x:c>
      <x:c r="I77" s="555" t="n">
        <x:v>1</x:v>
      </x:c>
      <x:c r="J77" s="555" t="n">
        <x:v>0</x:v>
      </x:c>
      <x:c r="K77" s="561" t="n">
        <x:v>1</x:v>
      </x:c>
      <x:c r="L77" s="90"/>
    </x:row>
    <x:row r="78">
      <x:c r="A78" s="69" t="str">
        <x:v>용인</x:v>
      </x:c>
      <x:c r="B78" s="69" t="str">
        <x:v>한양립스</x:v>
      </x:c>
      <x:c r="C78" s="69" t="str">
        <x:v>(주)제이에스글로벌산업</x:v>
      </x:c>
      <x:c r="D78" s="69"/>
      <x:c r="E78" s="534" t="n">
        <x:v>0</x:v>
      </x:c>
      <x:c r="F78" s="534" t="n">
        <x:v>0</x:v>
      </x:c>
      <x:c r="G78" s="534" t="n">
        <x:v>0</x:v>
      </x:c>
      <x:c r="H78" s="534" t="n">
        <x:v>2</x:v>
      </x:c>
      <x:c r="I78" s="534" t="n">
        <x:v>1</x:v>
      </x:c>
      <x:c r="J78" s="534" t="n">
        <x:v>0</x:v>
      </x:c>
      <x:c r="K78" s="534" t="n">
        <x:f>SUM(E78:J78)</x:f>
        <x:v>3</x:v>
      </x:c>
      <x:c r="L78" s="69"/>
    </x:row>
    <x:row r="79">
      <x:c r="A79" s="91" t="str">
        <x:v>용인</x:v>
      </x:c>
      <x:c r="B79" s="91" t="str">
        <x:v>신광교 클라우드 시티 신축공사</x:v>
      </x:c>
      <x:c r="C79" s="91" t="str">
        <x:v>(주)성광엔지니어링</x:v>
      </x:c>
      <x:c r="D79" s="91" t="str">
        <x:v>원청사: 현대엔지니어링(주)</x:v>
      </x:c>
      <x:c r="E79" s="544" t="n">
        <x:v>1</x:v>
      </x:c>
      <x:c r="F79" s="544" t="n">
        <x:v>1</x:v>
      </x:c>
      <x:c r="G79" s="544" t="n">
        <x:v>0</x:v>
      </x:c>
      <x:c r="H79" s="544" t="n">
        <x:v>0</x:v>
      </x:c>
      <x:c r="I79" s="544" t="n">
        <x:v>0</x:v>
      </x:c>
      <x:c r="J79" s="544" t="n">
        <x:v>3</x:v>
      </x:c>
      <x:c r="K79" s="544" t="n">
        <x:f>SUM(E79:J79)</x:f>
        <x:v>5</x:v>
      </x:c>
      <x:c r="L79" s="91" t="str">
        <x:v>2026-10-17 입사 / 현장명 정정 / 총 1→5대 (2026-10-19 명단)</x:v>
      </x:c>
    </x:row>
    <x:row r="80">
      <x:c r="A80" s="93" t="str">
        <x:v>용인지부 소계</x:v>
      </x:c>
      <x:c r="B80" s="93"/>
      <x:c r="C80" s="93"/>
      <x:c r="D80" s="93"/>
      <x:c r="E80" s="558" t="n">
        <x:f>SUM(E67:E69,E71:E79)</x:f>
        <x:v>10</x:v>
      </x:c>
      <x:c r="F80" s="558" t="n">
        <x:f>SUM(F67:F69,F71:F79)</x:f>
        <x:v>12</x:v>
      </x:c>
      <x:c r="G80" s="558" t="n">
        <x:f>SUM(G67:G69,G71:G79)</x:f>
        <x:v>1</x:v>
      </x:c>
      <x:c r="H80" s="558" t="n">
        <x:f>SUM(H67:H69,H71:H79)</x:f>
        <x:v>4</x:v>
      </x:c>
      <x:c r="I80" s="558" t="n">
        <x:f>SUM(I67:I69,I71:I79)</x:f>
        <x:v>6</x:v>
      </x:c>
      <x:c r="J80" s="558" t="n">
        <x:f>SUM(J67:J69,J71:J79)</x:f>
        <x:v>6</x:v>
      </x:c>
      <x:c r="K80" s="558" t="n">
        <x:f>SUM(K67:K69,K71:K79)</x:f>
        <x:v>39</x:v>
      </x:c>
      <x:c r="L80" s="93"/>
    </x:row>
    <x:row r="81">
      <x:c r="A81" s="114" t="str">
        <x:v>소계퍼센테이지</x:v>
      </x:c>
      <x:c r="B81" s="114"/>
      <x:c r="C81" s="114"/>
      <x:c r="D81" s="114"/>
      <x:c r="E81" s="566" t="n">
        <x:f>IF($K$80=0,0,E80/$K$80)</x:f>
        <x:v>0.2564102564102564</x:v>
      </x:c>
      <x:c r="F81" s="566" t="n">
        <x:f>IF($K$80=0,0,F80/$K$80)</x:f>
        <x:v>0.3076923076923077</x:v>
      </x:c>
      <x:c r="G81" s="566" t="n">
        <x:f>IF($K$80=0,0,G80/$K$80)</x:f>
        <x:v>0.02564102564102564</x:v>
      </x:c>
      <x:c r="H81" s="566" t="n">
        <x:f>IF($K$80=0,0,H80/$K$80)</x:f>
        <x:v>0.10256410256410256</x:v>
      </x:c>
      <x:c r="I81" s="566" t="n">
        <x:f>IF($K$80=0,0,I80/$K$80)</x:f>
        <x:v>0.15384615384615385</x:v>
      </x:c>
      <x:c r="J81" s="566" t="n">
        <x:f>IF($K$80=0,0,J80/$K$80)</x:f>
        <x:v>0.15384615384615385</x:v>
      </x:c>
      <x:c r="K81" s="566" t="n">
        <x:f>IF($K$80=0,0,K80/$K$80)</x:f>
        <x:v>1</x:v>
      </x:c>
      <x:c r="L81" s="114"/>
    </x:row>
    <x:row r="82">
      <x:c r="A82" s="125" t="str">
        <x:v>중부</x:v>
      </x:c>
      <x:c r="B82" s="125" t="str">
        <x:v>당수동 한신</x:v>
      </x:c>
      <x:c r="C82" s="125" t="str">
        <x:v>주식회사월드타워</x:v>
      </x:c>
      <x:c r="D82" s="125"/>
      <x:c r="E82" s="562" t="n">
        <x:v>1</x:v>
      </x:c>
      <x:c r="F82" s="562" t="n">
        <x:v>2</x:v>
      </x:c>
      <x:c r="G82" s="562" t="n">
        <x:v>0</x:v>
      </x:c>
      <x:c r="H82" s="562" t="n">
        <x:v>0</x:v>
      </x:c>
      <x:c r="I82" s="562" t="n">
        <x:v>2</x:v>
      </x:c>
      <x:c r="J82" s="562" t="n">
        <x:v>0</x:v>
      </x:c>
      <x:c r="K82" s="562" t="n">
        <x:v>5</x:v>
      </x:c>
      <x:c r="L82" s="125"/>
    </x:row>
    <x:row r="83">
      <x:c r="A83" s="161" t="str">
        <x:v>중부</x:v>
      </x:c>
      <x:c r="B83" s="161" t="str">
        <x:v>당수동 한라</x:v>
      </x:c>
      <x:c r="C83" s="161" t="str">
        <x:v>벽산중기산업주식회사</x:v>
      </x:c>
      <x:c r="D83" s="161"/>
      <x:c r="E83" s="563" t="n">
        <x:v>1</x:v>
      </x:c>
      <x:c r="F83" s="563" t="n">
        <x:v>2</x:v>
      </x:c>
      <x:c r="G83" s="563" t="n">
        <x:v>1</x:v>
      </x:c>
      <x:c r="H83" s="563" t="n">
        <x:v>0</x:v>
      </x:c>
      <x:c r="I83" s="563" t="n">
        <x:v>0</x:v>
      </x:c>
      <x:c r="J83" s="563" t="n">
        <x:v>0</x:v>
      </x:c>
      <x:c r="K83" s="563" t="n">
        <x:v>4</x:v>
      </x:c>
      <x:c r="L83" s="126"/>
    </x:row>
    <x:row r="84">
      <x:c r="A84" s="163" t="str">
        <x:v>중부</x:v>
      </x:c>
      <x:c r="B84" s="163" t="str">
        <x:v>당수동 계룡</x:v>
      </x:c>
      <x:c r="C84" s="163" t="str">
        <x:v>주식회사 화성건기</x:v>
      </x:c>
      <x:c r="D84" s="163"/>
      <x:c r="E84" s="555" t="n">
        <x:v>1</x:v>
      </x:c>
      <x:c r="F84" s="555" t="n">
        <x:v>1</x:v>
      </x:c>
      <x:c r="G84" s="555" t="n">
        <x:v>0</x:v>
      </x:c>
      <x:c r="H84" s="555" t="n">
        <x:v>0</x:v>
      </x:c>
      <x:c r="I84" s="555" t="n">
        <x:v>2</x:v>
      </x:c>
      <x:c r="J84" s="555" t="n">
        <x:v>0</x:v>
      </x:c>
      <x:c r="K84" s="564" t="n">
        <x:v>4</x:v>
      </x:c>
      <x:c r="L84"/>
    </x:row>
    <x:row r="85">
      <x:c r="A85" t="str">
        <x:v>중부</x:v>
      </x:c>
      <x:c r="B85" t="str">
        <x:v>영화동 두산</x:v>
      </x:c>
      <x:c r="C85" t="str">
        <x:v>(주)야후건기</x:v>
      </x:c>
      <x:c r="D85"/>
      <x:c r="E85" s="536" t="n">
        <x:v>1</x:v>
      </x:c>
      <x:c r="F85" s="536" t="n">
        <x:v>1</x:v>
      </x:c>
      <x:c r="G85" s="536" t="n">
        <x:v>0</x:v>
      </x:c>
      <x:c r="H85" s="536" t="n">
        <x:v>0</x:v>
      </x:c>
      <x:c r="I85" s="536" t="n">
        <x:v>1</x:v>
      </x:c>
      <x:c r="J85" s="536" t="n">
        <x:v>0</x:v>
      </x:c>
      <x:c r="K85" s="536" t="n">
        <x:v>3</x:v>
      </x:c>
      <x:c r="L85"/>
    </x:row>
    <x:row r="86">
      <x:c r="A86" t="str">
        <x:v>중부</x:v>
      </x:c>
      <x:c r="B86" t="str">
        <x:v>수원 친환경 에너지 개선공사 주기기 구매</x:v>
      </x:c>
      <x:c r="C86" t="str">
        <x:v>신우개발(주)</x:v>
      </x:c>
      <x:c r="D86"/>
      <x:c r="E86" s="536" t="n">
        <x:v>1</x:v>
      </x:c>
      <x:c r="F86" s="536" t="n">
        <x:v>0</x:v>
      </x:c>
      <x:c r="G86" s="536" t="n">
        <x:v>0</x:v>
      </x:c>
      <x:c r="H86" s="536" t="n">
        <x:v>0</x:v>
      </x:c>
      <x:c r="I86" s="536" t="n">
        <x:v>0</x:v>
      </x:c>
      <x:c r="J86" s="536" t="n">
        <x:v>0</x:v>
      </x:c>
      <x:c r="K86" s="536" t="n">
        <x:f>SUM(E86:J86)</x:f>
        <x:v>1</x:v>
      </x:c>
      <x:c r="L86"/>
    </x:row>
    <x:row r="87">
      <x:c r="A87" t="str">
        <x:v>중부지부 소계</x:v>
      </x:c>
      <x:c r="B87"/>
      <x:c r="C87"/>
      <x:c r="D87"/>
      <x:c r="E87" s="536" t="n">
        <x:f>SUM(E82:E86)</x:f>
        <x:v>5</x:v>
      </x:c>
      <x:c r="F87" s="536" t="n">
        <x:f>SUM(F82:F86)</x:f>
        <x:v>6</x:v>
      </x:c>
      <x:c r="G87" s="536" t="n">
        <x:f>SUM(G82:G86)</x:f>
        <x:v>1</x:v>
      </x:c>
      <x:c r="H87" s="536" t="n">
        <x:f>SUM(H82:H86)</x:f>
        <x:v>0</x:v>
      </x:c>
      <x:c r="I87" s="536" t="n">
        <x:f>SUM(I82:I86)</x:f>
        <x:v>5</x:v>
      </x:c>
      <x:c r="J87" s="536" t="n">
        <x:f>SUM(J82:J86)</x:f>
        <x:v>0</x:v>
      </x:c>
      <x:c r="K87" s="536" t="n">
        <x:f>SUM(K82:K86)</x:f>
        <x:v>17</x:v>
      </x:c>
      <x:c r="L87"/>
    </x:row>
    <x:row r="88">
      <x:c r="A88" t="str">
        <x:v>소계퍼센테이지</x:v>
      </x:c>
      <x:c r="B88"/>
      <x:c r="C88"/>
      <x:c r="D88"/>
      <x:c r="E88" s="95" t="n">
        <x:f>IF($K$87=0,0,E87/$K$87)</x:f>
        <x:v>0.29411764705882354</x:v>
      </x:c>
      <x:c r="F88" s="95" t="n">
        <x:f>IF($K$87=0,0,F87/$K$87)</x:f>
        <x:v>0.35294117647058826</x:v>
      </x:c>
      <x:c r="G88" s="95" t="n">
        <x:f>IF($K$87=0,0,G87/$K$87)</x:f>
        <x:v>0.058823529411764705</x:v>
      </x:c>
      <x:c r="H88" s="95" t="n">
        <x:f>IF($K$87=0,0,H87/$K$87)</x:f>
        <x:v>0</x:v>
      </x:c>
      <x:c r="I88" s="95" t="n">
        <x:f>IF($K$87=0,0,I87/$K$87)</x:f>
        <x:v>0.29411764705882354</x:v>
      </x:c>
      <x:c r="J88" s="95" t="n">
        <x:f>IF($K$87=0,0,J87/$K$87)</x:f>
        <x:v>0</x:v>
      </x:c>
      <x:c r="K88" s="95" t="n">
        <x:f>IF($K$87=0,0,K87/$K$87)</x:f>
        <x:v>1</x:v>
      </x:c>
      <x:c r="L88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>
        <x:v>3</x:v>
      </x:c>
      <x:c r="C14" s="11">
        <x:v>3</x:v>
      </x:c>
      <x:c r="D14" s="11" t="n">
        <x:v>4</x:v>
      </x:c>
      <x:c r="E14" s="11" t="n">
        <x:v>1</x:v>
      </x:c>
      <x:c r="F14" s="11">
        <x:v>0</x:v>
      </x:c>
      <x:c r="G14" s="11">
        <x:v>2</x:v>
      </x:c>
      <x:c r="H14" s="11" t="n">
        <x:v>3</x:v>
      </x:c>
      <x:c r="I14" s="9">
        <x:v>13</x:v>
      </x:c>
      <x:c r="J14" s="34">
        <x:v>0.23076923076923081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>
        <x:v>2</x:v>
      </x:c>
      <x:c r="C43" s="536">
        <x:v>2</x:v>
      </x:c>
      <x:c r="D43" s="536" t="n">
        <x:v>3</x:v>
      </x:c>
      <x:c r="E43" s="536">
        <x:v>0</x:v>
      </x:c>
      <x:c r="F43" s="536">
        <x:v>0</x:v>
      </x:c>
      <x:c r="G43" s="536">
        <x:v>1</x:v>
      </x:c>
      <x:c r="H43" s="536" t="n">
        <x:v>3</x:v>
      </x:c>
      <x:c r="I43" s="536" t="n">
        <x:v>9</x:v>
      </x:c>
      <x:c r="J43" s="95" t="n">
        <x:f>IF(I43=0,0,C43/I43)</x:f>
        <x:v>0.2222222222222222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138</x:v>
      </x:c>
      <x:c r="B6" s="16" t="n">
        <x:f t="shared" si="0"/>
        <x:v>49</x:v>
      </x:c>
      <x:c r="C6" s="16" t="n">
        <x:f t="shared" si="0"/>
        <x:v>59</x:v>
      </x:c>
      <x:c r="D6" s="16" t="n">
        <x:f t="shared" si="0"/>
        <x:v>2</x:v>
      </x:c>
      <x:c r="E6" s="16" t="n">
        <x:f t="shared" si="0"/>
        <x:v>12</x:v>
      </x:c>
      <x:c r="F6" s="16" t="n">
        <x:f t="shared" si="0"/>
        <x:v>16</x:v>
      </x:c>
    </x:row>
    <x:row r="7">
      <x:c r="A7" s="17" t="s">
        <x:v>96</x:v>
      </x:c>
      <x:c r="B7" s="35" t="n">
        <x:v>0.35507246376811596</x:v>
      </x:c>
      <x:c r="C7" s="35" t="n">
        <x:v>0.427536231884058</x:v>
      </x:c>
      <x:c r="D7" s="35" t="n">
        <x:v>0.014492753623188406</x:v>
      </x:c>
      <x:c r="E7" s="35" t="n">
        <x:v>0.08695652173913043</x:v>
      </x:c>
      <x:c r="F7" s="35" t="n">
        <x:v>0.11594202898550725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tr">
        <x:v>기흥 NRD FAB동</x:v>
      </x:c>
      <x:c r="C16" s="26" t="n">
        <x:v>5</x:v>
      </x:c>
      <x:c r="D16" s="27" t="n">
        <x:v>3</x:v>
      </x:c>
      <x:c r="E16" s="27" t="n">
        <x:v>2</x:v>
      </x:c>
      <x:c r="F16" s="27" t="n">
        <x:v>0</x:v>
      </x:c>
      <x:c r="G16" s="27" t="n">
        <x:v>0</x:v>
      </x:c>
      <x:c r="H16" s="27" t="n">
        <x:v>0</x:v>
      </x:c>
      <x:c r="I16" s="28" t="s">
        <x:v>111</x:v>
      </x:c>
    </x:row>
    <x:row r="17">
      <x:c r="A17" s="19">
        <x:v>7</x:v>
      </x:c>
      <x:c r="B17" s="20" t="s">
        <x:v>112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113</x:v>
      </x:c>
    </x:row>
    <x:row r="18">
      <x:c r="A18" s="24">
        <x:v>8</x:v>
      </x:c>
      <x:c r="B18" s="25" t="s">
        <x:v>114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115</x:v>
      </x:c>
    </x:row>
    <x:row r="19">
      <x:c r="A19" s="19">
        <x:v>9</x:v>
      </x:c>
      <x:c r="B19" s="20" t="s">
        <x:v>116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117</x:v>
      </x:c>
    </x:row>
    <x:row r="20" s="14" customFormat="1" ht="14.449999809265137" customHeight="1">
      <x:c r="A20" s="24">
        <x:v>10</x:v>
      </x:c>
      <x:c r="B20" s="25" t="s">
        <x:v>118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 t="n">
        <x:v>11</x:v>
      </x:c>
      <x:c r="B21" s="30" t="str">
        <x:v>기흥 NRD-K2 복합동 신축공사</x:v>
      </x:c>
      <x:c r="C21" s="31" t="n">
        <x:f t="shared" ref="C21:H21" si="1">SUM(C11:C20)</x:f>
        <x:v>6</x:v>
      </x:c>
      <x:c r="D21" s="31" t="n">
        <x:f t="shared" si="1"/>
        <x:v>1</x:v>
      </x:c>
      <x:c r="E21" s="31" t="n">
        <x:f t="shared" si="1"/>
        <x:v>2</x:v>
      </x:c>
      <x:c r="F21" s="31" t="n">
        <x:f t="shared" si="1"/>
        <x:v>0</x:v>
      </x:c>
      <x:c r="G21" s="31" t="n">
        <x:f t="shared" si="1"/>
        <x:v>0</x:v>
      </x:c>
      <x:c r="H21" s="31" t="n">
        <x:f t="shared" si="1"/>
        <x:v>3</x:v>
      </x:c>
      <x:c r="I21" s="29" t="str">
        <x:v>신규 현장 · 신우개발(주) / 삼성이앤에이(주)</x:v>
      </x:c>
    </x:row>
    <x:row r="22" s="14" customFormat="1" ht="14.449999809265137" customHeight="1">
      <x:c r="A22"/>
      <x:c r="B22" t="str">
        <x:v>합 계</x:v>
      </x:c>
      <x:c r="C22" t="n">
        <x:v>138</x:v>
      </x:c>
      <x:c r="D22" t="n">
        <x:v>49</x:v>
      </x:c>
      <x:c r="E22" t="n">
        <x:v>59</x:v>
      </x:c>
      <x:c r="F22" t="n">
        <x:v>2</x:v>
      </x:c>
      <x:c r="G22" t="n">
        <x:v>12</x:v>
      </x:c>
      <x:c r="H22" t="n">
        <x:v>16</x:v>
      </x:c>
      <x:c r="I22"/>
    </x:row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119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120</x:v>
      </x:c>
      <x:c r="B2" s="40" t="s">
        <x:v>121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122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123</x:v>
      </x:c>
      <x:c r="C4" s="43" t="s">
        <x:v>124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125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126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120</x:v>
      </x:c>
      <x:c r="B12" s="40" t="s">
        <x:v>121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122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127</x:v>
      </x:c>
      <x:c r="C13" s="43" t="s">
        <x:v>128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129</x:v>
      </x:c>
      <x:c r="C14" s="43" t="s">
        <x:v>130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125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131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120</x:v>
      </x:c>
      <x:c r="B20" s="40" t="s">
        <x:v>121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122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132</x:v>
      </x:c>
      <x:c r="C23" s="43" t="s">
        <x:v>133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134</x:v>
      </x:c>
      <x:c r="C24" s="43" t="s">
        <x:v>135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136</x:v>
      </x:c>
      <x:c r="C25" s="43" t="s">
        <x:v>137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138</x:v>
      </x:c>
      <x:c r="C26" s="43" t="s">
        <x:v>139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125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140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120</x:v>
      </x:c>
      <x:c r="B31" s="40" t="s">
        <x:v>121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122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141</x:v>
      </x:c>
      <x:c r="C33" s="43" t="s">
        <x:v>142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143</x:v>
      </x:c>
      <x:c r="C35" s="43" t="s">
        <x:v>144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123</x:v>
      </x:c>
      <x:c r="C36" s="43" t="s">
        <x:v>145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141</x:v>
      </x:c>
      <x:c r="C37" s="43" t="s">
        <x:v>146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125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147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120</x:v>
      </x:c>
      <x:c r="B42" s="40" t="s">
        <x:v>121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122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138</x:v>
      </x:c>
      <x:c r="C43" s="38" t="s">
        <x:v>148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149</x:v>
      </x:c>
      <x:c r="C44" s="43" t="s">
        <x:v>150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151</x:v>
      </x:c>
      <x:c r="C46" s="43" t="s">
        <x:v>152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125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153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120</x:v>
      </x:c>
      <x:c r="B51" s="40" t="s">
        <x:v>121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122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151</x:v>
      </x:c>
      <x:c r="C52" s="38" t="s">
        <x:v>154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155</x:v>
      </x:c>
      <x:c r="C53" s="43" t="s">
        <x:v>156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157</x:v>
      </x:c>
      <x:c r="C54" s="43" t="s">
        <x:v>158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159</x:v>
      </x:c>
      <x:c r="C55" s="43" t="s">
        <x:v>160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161</x:v>
      </x:c>
      <x:c r="C56" s="43" t="s">
        <x:v>162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163</x:v>
      </x:c>
      <x:c r="C57" s="43" t="s">
        <x:v>164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165</x:v>
      </x:c>
      <x:c r="C58" s="43" t="s">
        <x:v>166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141</x:v>
      </x:c>
      <x:c r="C59" s="43" t="s">
        <x:v>167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168</x:v>
      </x:c>
      <x:c r="C60" s="43" t="s">
        <x:v>169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170</x:v>
      </x:c>
      <x:c r="C61" s="43" t="s">
        <x:v>171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172</x:v>
      </x:c>
      <x:c r="C62" s="43" t="s">
        <x:v>173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125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174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120</x:v>
      </x:c>
      <x:c r="B68" s="40" t="s">
        <x:v>121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122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141</x:v>
      </x:c>
      <x:c r="C70" s="43" t="s">
        <x:v>175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176</x:v>
      </x:c>
      <x:c r="B71" s="41" t="s">
        <x:v>177</x:v>
      </x:c>
      <x:c r="C71" s="43" t="s">
        <x:v>178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179</x:v>
      </x:c>
      <x:c r="C72" s="51" t="s">
        <x:v>180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181</x:v>
      </x:c>
      <x:c r="C73" s="48" t="s">
        <x:v>182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125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183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120</x:v>
      </x:c>
      <x:c r="B77" s="58" t="s">
        <x:v>121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122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127</x:v>
      </x:c>
      <x:c r="C78" s="38" t="s">
        <x:v>184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123</x:v>
      </x:c>
      <x:c r="C79" s="38" t="s">
        <x:v>185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186</x:v>
      </x:c>
      <x:c r="C80" s="43" t="s">
        <x:v>187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188</x:v>
      </x:c>
      <x:c r="C81" s="43" t="s">
        <x:v>189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190</x:v>
      </x:c>
      <x:c r="C82" s="43" t="s">
        <x:v>191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192</x:v>
      </x:c>
      <x:c r="C84" s="43" t="s">
        <x:v>193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125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194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120</x:v>
      </x:c>
      <x:c r="B90" s="58" t="s">
        <x:v>121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122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195</x:v>
      </x:c>
      <x:c r="C91" s="38" t="s">
        <x:v>196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197</x:v>
      </x:c>
    </x:row>
    <x:row r="92">
      <x:c r="A92" s="42" t="s">
        <x:v>82</x:v>
      </x:c>
      <x:c r="B92" s="38" t="s">
        <x:v>198</x:v>
      </x:c>
      <x:c r="C92" s="38" t="s">
        <x:v>199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200</x:v>
      </x:c>
      <x:c r="C93" s="43" t="s">
        <x:v>201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202</x:v>
      </x:c>
      <x:c r="C94" s="43" t="s">
        <x:v>203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204</x:v>
      </x:c>
    </x:row>
    <x:row r="95" ht="17.25">
      <x:c r="A95" s="42" t="s">
        <x:v>33</x:v>
      </x:c>
      <x:c r="B95" s="41" t="s">
        <x:v>195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205</x:v>
      </x:c>
    </x:row>
    <x:row r="96">
      <x:c r="A96" s="41" t="s">
        <x:v>79</x:v>
      </x:c>
      <x:c r="B96" s="42" t="s">
        <x:v>143</x:v>
      </x:c>
      <x:c r="C96" s="43" t="s">
        <x:v>206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207</x:v>
      </x:c>
      <x:c r="C97" s="43" t="s">
        <x:v>208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205</x:v>
      </x:c>
    </x:row>
    <x:row r="98" ht="17.25">
      <x:c r="A98" s="42" t="s">
        <x:v>80</x:v>
      </x:c>
      <x:c r="B98" s="41" t="s">
        <x:v>209</x:v>
      </x:c>
      <x:c r="C98" s="43" t="s">
        <x:v>210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211</x:v>
      </x:c>
      <x:c r="C99" s="48" t="s">
        <x:v>212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213</x:v>
      </x:c>
      <x:c r="C100" s="44" t="s">
        <x:v>214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215</x:v>
      </x:c>
    </x:row>
    <x:row r="102" s="14" customFormat="1" ht="15.399999618530273" customHeight="1">
      <x:c r="A102" s="48" t="s">
        <x:v>125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216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120</x:v>
      </x:c>
      <x:c r="B105" s="57" t="s">
        <x:v>121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122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217</x:v>
      </x:c>
      <x:c r="C106" s="43" t="s">
        <x:v>218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219</x:v>
      </x:c>
      <x:c r="B107" s="41" t="s">
        <x:v>220</x:v>
      </x:c>
      <x:c r="C107" s="43" t="s">
        <x:v>221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222</x:v>
      </x:c>
      <x:c r="C108" s="43" t="s">
        <x:v>223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224</x:v>
      </x:c>
      <x:c r="B109" s="44" t="s">
        <x:v>198</x:v>
      </x:c>
      <x:c r="C109" s="44" t="s">
        <x:v>225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205</x:v>
      </x:c>
    </x:row>
    <x:row r="110" ht="18.75">
      <x:c r="A110" s="73" t="s">
        <x:v>56</x:v>
      </x:c>
      <x:c r="B110" s="44" t="s">
        <x:v>226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227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195</x:v>
      </x:c>
      <x:c r="C112" s="173" t="s">
        <x:v>228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149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229</x:v>
      </x:c>
      <x:c r="C114" s="176" t="s">
        <x:v>230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신광교 클라우드 시티 신축공사</x:v>
      </x:c>
      <x:c r="D115" s="536" t="n">
        <x:v>5</x:v>
      </x:c>
      <x:c r="E115" s="536" t="n">
        <x:v>1</x:v>
      </x:c>
      <x:c r="F115" s="536" t="n">
        <x:v>1</x:v>
      </x:c>
      <x:c r="G115" s="536" t="n">
        <x:v>0</x:v>
      </x:c>
      <x:c r="H115" s="536" t="n">
        <x:v>0</x:v>
      </x:c>
      <x:c r="I115" s="536" t="n">
        <x:v>3</x:v>
      </x:c>
      <x:c r="J115" t="str">
        <x:v>2026-10-17 입사 / 명단 현장명 정정 · 1→5대(민노+1, 미정+3)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inlineStr">
        <x:is>
          <x:t xml:space="preserve">(주)성광엔지니어링</x:t>
        </x:is>
      </x:c>
      <x:c r="B117" t="inlineStr">
        <x:is>
          <x:t xml:space="preserve">효성중공업(주)</x:t>
        </x:is>
      </x:c>
      <x:c r="C117" t="inlineStr">
        <x:is>
          <x:t xml:space="preserve">평택고덕 Aa-38BL 아파트 건설공사 15공구</x:t>
        </x:is>
      </x:c>
      <x:c r="D117" s="536">
        <x:v>4</x:v>
      </x:c>
      <x:c r="E117" s="536">
        <x:v>1</x:v>
      </x:c>
      <x:c r="F117" s="536">
        <x:v>2</x:v>
      </x:c>
      <x:c r="G117" s="536">
        <x:v>0</x:v>
      </x:c>
      <x:c r="H117" s="536">
        <x:v>1</x:v>
      </x:c>
      <x:c r="I117" s="536">
        <x:v>0</x:v>
      </x:c>
      <x:c r="J117" t="inlineStr">
        <x:is>
          <x:t xml:space="preserve">2026-10-19 입사 / 이번 명단 신규 현장</x:t>
        </x:is>
      </x:c>
    </x:row>
    <x:row r="118">
      <x:c r="A118" t="str">
        <x:v>합계</x:v>
      </x:c>
      <x:c r="B118"/>
      <x:c r="C118"/>
      <x:c r="D118" s="536" t="n">
        <x:f>SUM(D106:D117)</x:f>
        <x:v>51</x:v>
      </x:c>
      <x:c r="E118" s="536" t="n">
        <x:f>SUM(E106:E117)</x:f>
        <x:v>14</x:v>
      </x:c>
      <x:c r="F118" s="536" t="n">
        <x:f>SUM(F106:F117)</x:f>
        <x:v>23</x:v>
      </x:c>
      <x:c r="G118" s="536" t="n">
        <x:f>SUM(G106:G117)</x:f>
        <x:v>2</x:v>
      </x:c>
      <x:c r="H118" s="536" t="n">
        <x:f>SUM(H106:H117)</x:f>
        <x:v>5</x:v>
      </x:c>
      <x:c r="I118" s="536" t="n">
        <x:f>SUM(I106:I117)</x:f>
        <x:v>7</x:v>
      </x:c>
      <x:c r="J118" t="str">
        <x:v>※ 미정 7대 (확인된 최신 10월 집계), 다른 월 기록 유지</x:v>
      </x:c>
    </x:row>
    <x:row r="119">
      <x:c r="A119" t="str">
        <x:v>비율 (총대수=100%)</x:v>
      </x:c>
      <x:c r="B119"/>
      <x:c r="C119"/>
      <x:c r="D119" s="95" t="n">
        <x:f>IF($D$118=0,0,D118/$D$118)</x:f>
        <x:v>1</x:v>
      </x:c>
      <x:c r="E119" s="95" t="n">
        <x:f>IF($D$118=0,0,E118/$D$118)</x:f>
        <x:v>0.27450980392156865</x:v>
      </x:c>
      <x:c r="F119" s="95" t="n">
        <x:f>IF($D$118=0,0,F118/$D$118)</x:f>
        <x:v>0.45098039215686275</x:v>
      </x:c>
      <x:c r="G119" s="95" t="n">
        <x:f>IF($D$118=0,0,G118/$D$118)</x:f>
        <x:v>0.0392156862745098</x:v>
      </x:c>
      <x:c r="H119" s="95" t="n">
        <x:f>IF($D$118=0,0,H118/$D$118)</x:f>
        <x:v>0.09803921568627451</x:v>
      </x:c>
      <x:c r="I119" s="95" t="n">
        <x:f>IF($D$118=0,0,I118/$D$118)</x:f>
        <x:v>0.13725490196078433</x:v>
      </x:c>
      <x:c r="J119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24b884fc15174b5f"/>
</x:worksheet>
</file>