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/>
  <xr:revisionPtr revIDLastSave="0" documentId="8_{28F77209-79D0-8E42-A5A4-487C615306D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.26년 전체 소속별 점유율" sheetId="1" r:id="rId1"/>
    <sheet name="2.각8개지부 현장점유율" sheetId="2" r:id="rId2"/>
    <sheet name="3.타워사별 점유현황" sheetId="3" r:id="rId3"/>
    <sheet name="4.반도체현장" sheetId="4" r:id="rId4"/>
    <sheet name="5.1~9월채용추이" sheetId="5" r:id="rId5"/>
  </sheets>
  <definedNames>
    <definedName name="가평군">#REF!</definedName>
    <definedName name="강원도">#REF!</definedName>
    <definedName name="경기도">#REF!</definedName>
    <definedName name="경상남도">#REF!</definedName>
    <definedName name="경상북도">#REF!</definedName>
    <definedName name="광산구">#REF!</definedName>
    <definedName name="광주광역시">#REF!</definedName>
    <definedName name="대구광역시">#REF!</definedName>
    <definedName name="대전광역시">#REF!</definedName>
    <definedName name="동구">#REF!</definedName>
    <definedName name="목포시">#REF!</definedName>
    <definedName name="부산광역시">#REF!</definedName>
    <definedName name="서귀포시">#REF!</definedName>
    <definedName name="서울특별시">#REF!</definedName>
    <definedName name="세종시">#REF!</definedName>
    <definedName name="시_도">#REF!</definedName>
    <definedName name="울산광역시">#REF!</definedName>
    <definedName name="인천광역시">#REF!</definedName>
    <definedName name="전라남도">#REF!</definedName>
    <definedName name="전라북도">#REF!</definedName>
    <definedName name="전주시">#REF!</definedName>
    <definedName name="제주도">#REF!</definedName>
    <definedName name="조치원읍">#REF!</definedName>
    <definedName name="종로구">#REF!</definedName>
    <definedName name="중구">#REF!</definedName>
    <definedName name="창원시">#REF!</definedName>
    <definedName name="천안시">#REF!</definedName>
    <definedName name="청주시">#REF!</definedName>
    <definedName name="춘천시">#REF!</definedName>
    <definedName name="충청남도">#REF!</definedName>
    <definedName name="충청북도">#REF!</definedName>
    <definedName name="포항시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5" l="1"/>
  <c r="I112" i="5"/>
  <c r="I113" i="5"/>
  <c r="H112" i="5"/>
  <c r="H113" i="5"/>
  <c r="G112" i="5"/>
  <c r="G113" i="5"/>
  <c r="F112" i="5"/>
  <c r="F113" i="5"/>
  <c r="E112" i="5"/>
  <c r="E113" i="5"/>
  <c r="D113" i="5"/>
  <c r="D101" i="5"/>
  <c r="I101" i="5"/>
  <c r="I102" i="5"/>
  <c r="H101" i="5"/>
  <c r="H102" i="5"/>
  <c r="G101" i="5"/>
  <c r="G102" i="5"/>
  <c r="F101" i="5"/>
  <c r="F102" i="5"/>
  <c r="E101" i="5"/>
  <c r="E102" i="5"/>
  <c r="D102" i="5"/>
  <c r="D86" i="5"/>
  <c r="I86" i="5"/>
  <c r="I87" i="5"/>
  <c r="H86" i="5"/>
  <c r="H87" i="5"/>
  <c r="G86" i="5"/>
  <c r="G87" i="5"/>
  <c r="F86" i="5"/>
  <c r="F87" i="5"/>
  <c r="E86" i="5"/>
  <c r="E87" i="5"/>
  <c r="D87" i="5"/>
  <c r="D74" i="5"/>
  <c r="I74" i="5"/>
  <c r="I75" i="5"/>
  <c r="H74" i="5"/>
  <c r="H75" i="5"/>
  <c r="G74" i="5"/>
  <c r="G75" i="5"/>
  <c r="F74" i="5"/>
  <c r="F75" i="5"/>
  <c r="E74" i="5"/>
  <c r="E75" i="5"/>
  <c r="D75" i="5"/>
  <c r="D64" i="5"/>
  <c r="I64" i="5"/>
  <c r="I65" i="5"/>
  <c r="H64" i="5"/>
  <c r="H65" i="5"/>
  <c r="G64" i="5"/>
  <c r="G65" i="5"/>
  <c r="F64" i="5"/>
  <c r="F65" i="5"/>
  <c r="E64" i="5"/>
  <c r="E65" i="5"/>
  <c r="D65" i="5"/>
  <c r="D47" i="5"/>
  <c r="I47" i="5"/>
  <c r="I48" i="5"/>
  <c r="H47" i="5"/>
  <c r="H48" i="5"/>
  <c r="G47" i="5"/>
  <c r="G48" i="5"/>
  <c r="F47" i="5"/>
  <c r="F48" i="5"/>
  <c r="E47" i="5"/>
  <c r="E48" i="5"/>
  <c r="D48" i="5"/>
  <c r="D38" i="5"/>
  <c r="I38" i="5"/>
  <c r="I39" i="5"/>
  <c r="H38" i="5"/>
  <c r="H39" i="5"/>
  <c r="G38" i="5"/>
  <c r="G39" i="5"/>
  <c r="F38" i="5"/>
  <c r="F39" i="5"/>
  <c r="E38" i="5"/>
  <c r="E39" i="5"/>
  <c r="D39" i="5"/>
  <c r="D27" i="5"/>
  <c r="I27" i="5"/>
  <c r="I28" i="5"/>
  <c r="H27" i="5"/>
  <c r="H28" i="5"/>
  <c r="G27" i="5"/>
  <c r="G28" i="5"/>
  <c r="F27" i="5"/>
  <c r="F28" i="5"/>
  <c r="E27" i="5"/>
  <c r="E28" i="5"/>
  <c r="D28" i="5"/>
  <c r="D16" i="5"/>
  <c r="I16" i="5"/>
  <c r="I17" i="5"/>
  <c r="H16" i="5"/>
  <c r="H17" i="5"/>
  <c r="G16" i="5"/>
  <c r="G17" i="5"/>
  <c r="F16" i="5"/>
  <c r="F17" i="5"/>
  <c r="E16" i="5"/>
  <c r="E17" i="5"/>
  <c r="D17" i="5"/>
  <c r="D8" i="5"/>
  <c r="I8" i="5"/>
  <c r="I9" i="5"/>
  <c r="H8" i="5"/>
  <c r="H9" i="5"/>
  <c r="G8" i="5"/>
  <c r="G9" i="5"/>
  <c r="F8" i="5"/>
  <c r="F9" i="5"/>
  <c r="E8" i="5"/>
  <c r="E9" i="5"/>
  <c r="D9" i="5"/>
  <c r="H21" i="4"/>
  <c r="G21" i="4"/>
  <c r="F21" i="4"/>
  <c r="E21" i="4"/>
  <c r="D21" i="4"/>
  <c r="C21" i="4"/>
  <c r="F6" i="4"/>
  <c r="A6" i="4"/>
  <c r="F7" i="4"/>
  <c r="E6" i="4"/>
  <c r="E7" i="4"/>
  <c r="D6" i="4"/>
  <c r="D7" i="4"/>
  <c r="C6" i="4"/>
  <c r="C7" i="4"/>
  <c r="B6" i="4"/>
  <c r="B7" i="4"/>
  <c r="I42" i="3"/>
  <c r="J42" i="3"/>
  <c r="J41" i="3"/>
  <c r="J36" i="3"/>
  <c r="I34" i="3"/>
  <c r="J34" i="3"/>
  <c r="I24" i="3"/>
  <c r="J24" i="3"/>
  <c r="J12" i="3"/>
  <c r="J8" i="3"/>
  <c r="J4" i="3"/>
  <c r="K80" i="2"/>
  <c r="K81" i="2"/>
  <c r="K82" i="2"/>
  <c r="J81" i="2"/>
  <c r="J82" i="2"/>
  <c r="I81" i="2"/>
  <c r="I82" i="2"/>
  <c r="H81" i="2"/>
  <c r="H82" i="2"/>
  <c r="G81" i="2"/>
  <c r="G82" i="2"/>
  <c r="F81" i="2"/>
  <c r="F82" i="2"/>
  <c r="E81" i="2"/>
  <c r="E82" i="2"/>
  <c r="K73" i="2"/>
  <c r="K74" i="2"/>
  <c r="K75" i="2"/>
  <c r="J74" i="2"/>
  <c r="J75" i="2"/>
  <c r="I74" i="2"/>
  <c r="I75" i="2"/>
  <c r="H74" i="2"/>
  <c r="H75" i="2"/>
  <c r="G74" i="2"/>
  <c r="G75" i="2"/>
  <c r="F74" i="2"/>
  <c r="F75" i="2"/>
  <c r="E74" i="2"/>
  <c r="E75" i="2"/>
  <c r="K59" i="2"/>
  <c r="K60" i="2"/>
  <c r="K61" i="2"/>
  <c r="J60" i="2"/>
  <c r="J61" i="2"/>
  <c r="I60" i="2"/>
  <c r="I61" i="2"/>
  <c r="H60" i="2"/>
  <c r="H61" i="2"/>
  <c r="G60" i="2"/>
  <c r="G61" i="2"/>
  <c r="F60" i="2"/>
  <c r="F61" i="2"/>
  <c r="E60" i="2"/>
  <c r="E61" i="2"/>
  <c r="K47" i="2"/>
  <c r="K48" i="2"/>
  <c r="K49" i="2"/>
  <c r="J48" i="2"/>
  <c r="J49" i="2"/>
  <c r="I48" i="2"/>
  <c r="I49" i="2"/>
  <c r="H48" i="2"/>
  <c r="H49" i="2"/>
  <c r="G48" i="2"/>
  <c r="G49" i="2"/>
  <c r="F48" i="2"/>
  <c r="F49" i="2"/>
  <c r="E48" i="2"/>
  <c r="E49" i="2"/>
  <c r="K35" i="2"/>
  <c r="K36" i="2"/>
  <c r="K37" i="2"/>
  <c r="J36" i="2"/>
  <c r="J37" i="2"/>
  <c r="I36" i="2"/>
  <c r="I37" i="2"/>
  <c r="H36" i="2"/>
  <c r="H37" i="2"/>
  <c r="G36" i="2"/>
  <c r="G37" i="2"/>
  <c r="F36" i="2"/>
  <c r="F37" i="2"/>
  <c r="E36" i="2"/>
  <c r="E37" i="2"/>
  <c r="K29" i="2"/>
  <c r="K30" i="2"/>
  <c r="K31" i="2"/>
  <c r="J30" i="2"/>
  <c r="J31" i="2"/>
  <c r="I30" i="2"/>
  <c r="I31" i="2"/>
  <c r="H30" i="2"/>
  <c r="H31" i="2"/>
  <c r="G30" i="2"/>
  <c r="G31" i="2"/>
  <c r="F30" i="2"/>
  <c r="F31" i="2"/>
  <c r="E30" i="2"/>
  <c r="E31" i="2"/>
  <c r="K22" i="2"/>
  <c r="K23" i="2"/>
  <c r="K24" i="2"/>
  <c r="K25" i="2"/>
  <c r="J24" i="2"/>
  <c r="J25" i="2"/>
  <c r="I24" i="2"/>
  <c r="I25" i="2"/>
  <c r="H24" i="2"/>
  <c r="H25" i="2"/>
  <c r="G24" i="2"/>
  <c r="G25" i="2"/>
  <c r="F24" i="2"/>
  <c r="F25" i="2"/>
  <c r="E24" i="2"/>
  <c r="E25" i="2"/>
  <c r="K6" i="2"/>
  <c r="K7" i="2"/>
  <c r="J6" i="2"/>
  <c r="J7" i="2"/>
  <c r="I6" i="2"/>
  <c r="I7" i="2"/>
  <c r="H6" i="2"/>
  <c r="H7" i="2"/>
  <c r="G6" i="2"/>
  <c r="G7" i="2"/>
  <c r="F6" i="2"/>
  <c r="F7" i="2"/>
  <c r="E6" i="2"/>
  <c r="E7" i="2"/>
  <c r="H3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<sst xmlns="http://schemas.openxmlformats.org/spreadsheetml/2006/main" count="652" uniqueCount="282">
  <si>
    <t>1.26년 전체 소속별 점유율 (통계제외 현장 제외)</t>
  </si>
  <si>
    <t>소속</t>
  </si>
  <si>
    <t>한노</t>
  </si>
  <si>
    <t>민노</t>
  </si>
  <si>
    <t>섬유</t>
  </si>
  <si>
    <t>건산</t>
  </si>
  <si>
    <t>직원</t>
  </si>
  <si>
    <t>미정</t>
  </si>
  <si>
    <t>합계</t>
  </si>
  <si>
    <t>비율</t>
  </si>
  <si>
    <t>전체</t>
  </si>
  <si>
    <t>100%</t>
  </si>
  <si>
    <t>2.경기지역본부 현장 점유율 현황</t>
  </si>
  <si>
    <t>지부</t>
  </si>
  <si>
    <t>현장명</t>
  </si>
  <si>
    <t>타워회사</t>
  </si>
  <si>
    <t>특이사항</t>
  </si>
  <si>
    <t>총대수</t>
  </si>
  <si>
    <t>비고</t>
  </si>
  <si>
    <t>북부</t>
  </si>
  <si>
    <t>복정동 한라건설</t>
  </si>
  <si>
    <t>주식회사 백산렌탈</t>
  </si>
  <si>
    <t>성남동원건설</t>
  </si>
  <si>
    <t>(주)대원타워렌탈</t>
  </si>
  <si>
    <t>제3판교 테크노밸리 상업 1-2,3블럭 업무시설 신축공사(동원건설산업)</t>
  </si>
  <si>
    <t>북부지부 소계</t>
  </si>
  <si>
    <t>소계퍼센테이지</t>
  </si>
  <si>
    <t>남부</t>
  </si>
  <si>
    <t>동탄2 태영건설</t>
  </si>
  <si>
    <t>오투기계산업(주)</t>
  </si>
  <si>
    <t>동탄2 대우건설(국영)</t>
  </si>
  <si>
    <t>(주)국영타워랜드</t>
  </si>
  <si>
    <t>동탄2 대우건설(동양)</t>
  </si>
  <si>
    <t>(주)동양타워엔지니어링</t>
  </si>
  <si>
    <t>동탄2 한토</t>
  </si>
  <si>
    <t>국제산업렌탈(주)</t>
  </si>
  <si>
    <t>평택브레인시티 동원</t>
  </si>
  <si>
    <t>(주)우성건설기계</t>
  </si>
  <si>
    <t>평택고덕 대우건설(썬타워)</t>
  </si>
  <si>
    <t>(주)썬타워</t>
  </si>
  <si>
    <t>평택고덕 대우건설(한산타워)</t>
  </si>
  <si>
    <t>주식회사 한산타워</t>
  </si>
  <si>
    <t>화양지구 쌍용</t>
  </si>
  <si>
    <t>(주)예림타워</t>
  </si>
  <si>
    <t>안성농심</t>
  </si>
  <si>
    <t>(주)오성산업</t>
  </si>
  <si>
    <t>안성건영</t>
  </si>
  <si>
    <t>(주)중앙티씨렌탈</t>
  </si>
  <si>
    <t>화성동탄 c-27블럭</t>
  </si>
  <si>
    <t>주식회사 우정타워</t>
  </si>
  <si>
    <t>63블럭 금호</t>
  </si>
  <si>
    <t>탑랜드</t>
  </si>
  <si>
    <t>평택고덕 금호건설 64bl</t>
  </si>
  <si>
    <t>정호개발주식회사</t>
  </si>
  <si>
    <t>평택 고덕국제화계획지구 Abc-36BL 공동주택 신축공사</t>
  </si>
  <si>
    <t>3.타워(렌탈)사별 점유 현황 (통계제외 제외)</t>
  </si>
  <si>
    <t>타워사</t>
  </si>
  <si>
    <t>현장수</t>
  </si>
  <si>
    <t>기타</t>
  </si>
  <si>
    <t>한노점유율</t>
  </si>
  <si>
    <t>주식회사 비엠케이</t>
  </si>
  <si>
    <t>벽산중기산업주식회사</t>
  </si>
  <si>
    <t>(주)한백산업</t>
  </si>
  <si>
    <t>주식회사월드타워</t>
  </si>
  <si>
    <t>(주)규람타워렌탈</t>
  </si>
  <si>
    <t>주식회사 화성건기</t>
  </si>
  <si>
    <t>(주)신화중공업</t>
  </si>
  <si>
    <t>주식회사 가람타워</t>
  </si>
  <si>
    <t>(주)야후건기</t>
  </si>
  <si>
    <t>뉴월드타워 주식회사</t>
  </si>
  <si>
    <t>(주)진성타워</t>
  </si>
  <si>
    <t>주식회사 한불타워</t>
  </si>
  <si>
    <t>(주)무기타워렌탈</t>
  </si>
  <si>
    <t>(주)타워링</t>
  </si>
  <si>
    <t>(주)타워랜드</t>
  </si>
  <si>
    <t>신우개발(주)</t>
  </si>
  <si>
    <t>주식회사 삼진타워</t>
  </si>
  <si>
    <t>(주)한진</t>
  </si>
  <si>
    <t>주식회사 필웍스</t>
  </si>
  <si>
    <t>(주)남산공영</t>
  </si>
  <si>
    <t>(주)금강건기</t>
  </si>
  <si>
    <t>(주)유건설 (단종계약)</t>
  </si>
  <si>
    <t>(주)제이에스글로벌산업</t>
  </si>
  <si>
    <t>반도체 현장 타워크레인 설치 및 노조별 대수 현황</t>
  </si>
  <si>
    <t>■ 임대사: 신우개발(주)   |   ■ 비고: 야간 수치 미적용</t>
  </si>
  <si>
    <t>1. 반도체 현장 전체 대수 비교 (노조별 총합)</t>
  </si>
  <si>
    <t>전체 대수</t>
  </si>
  <si>
    <t>한국노총</t>
  </si>
  <si>
    <t>민주노총</t>
  </si>
  <si>
    <t>건설노조(건산,섬유)</t>
  </si>
  <si>
    <t>비노조</t>
  </si>
  <si>
    <t>점유율</t>
  </si>
  <si>
    <t>2. 각 현장별 타워크레인 대수 및 노조별 상세 현황</t>
  </si>
  <si>
    <t>No.</t>
  </si>
  <si>
    <t>전체대수</t>
  </si>
  <si>
    <t>건설노조
(건산,섬유)</t>
  </si>
  <si>
    <t>*반도체 현장 파악 담당자</t>
  </si>
  <si>
    <t>평택 삼성 반도체 P5복합동</t>
  </si>
  <si>
    <t>서상일 010-6371-1575</t>
  </si>
  <si>
    <t>평택삼성 P5 FAB동 1차구간</t>
  </si>
  <si>
    <t>홍영종 010-8269-9115</t>
  </si>
  <si>
    <t>평택삼성 P5 FAB동 2차구간</t>
  </si>
  <si>
    <t>장수영 010-7744-7746</t>
  </si>
  <si>
    <t>평택삼성 P4 대기방지(배정완료)</t>
  </si>
  <si>
    <t xml:space="preserve">현장배정마감 </t>
  </si>
  <si>
    <t>p4 복합동(배정완료)</t>
  </si>
  <si>
    <t>기흥 NRD K2</t>
  </si>
  <si>
    <t>민주식 010-4870-9982</t>
  </si>
  <si>
    <t>용인 SK하이닉스 FAB동</t>
  </si>
  <si>
    <t>정성욱 010-8965-4560</t>
  </si>
  <si>
    <t>용인 하이닉스 PH4 CUB동</t>
  </si>
  <si>
    <t>진두영 010-4179-2617</t>
  </si>
  <si>
    <t>용인 SK PH4 FAB동</t>
  </si>
  <si>
    <t>최영길 010-7409-0253</t>
  </si>
  <si>
    <t>삼성p5 그린동</t>
  </si>
  <si>
    <t>합 계</t>
  </si>
  <si>
    <t>1월 채용 현황</t>
  </si>
  <si>
    <t>임대사</t>
  </si>
  <si>
    <t>원청사</t>
  </si>
  <si>
    <t>기타(건산섬유)</t>
  </si>
  <si>
    <t>현대건설(주)</t>
  </si>
  <si>
    <t>디에이치아델스타</t>
  </si>
  <si>
    <t>비율 (총대수=100%)</t>
  </si>
  <si>
    <t>2월 채용 현황</t>
  </si>
  <si>
    <t>에이치디씨현대산업개발(주)</t>
  </si>
  <si>
    <t>호현센트럴아이파크</t>
  </si>
  <si>
    <t>(주)태영건설</t>
  </si>
  <si>
    <t>동탄꿈의숲자연앤데시앙</t>
  </si>
  <si>
    <t>(주)대우건설</t>
  </si>
  <si>
    <t>동탄포레파크자연앤푸르지오</t>
  </si>
  <si>
    <t>3월 채용 현황</t>
  </si>
  <si>
    <t>(주)동원개발</t>
  </si>
  <si>
    <t>브레인시티비스타동원</t>
  </si>
  <si>
    <t>디엘이앤씨(주)</t>
  </si>
  <si>
    <t>안양에버포레자연&amp;e편한세상</t>
  </si>
  <si>
    <t>쌍용건설(주)</t>
  </si>
  <si>
    <t>더플래티넘파인애비뉴</t>
  </si>
  <si>
    <t>(주)우리기계산업</t>
  </si>
  <si>
    <t>강산건설(주)</t>
  </si>
  <si>
    <t>시화MTV 지하주차장</t>
  </si>
  <si>
    <t>농심엔지니어링(주)</t>
  </si>
  <si>
    <t>안성 장계리 물류센터 신축현장</t>
  </si>
  <si>
    <t>에이치엘디앤아이한라(주)</t>
  </si>
  <si>
    <t>복정역에피트</t>
  </si>
  <si>
    <t>4월 채용 현황</t>
  </si>
  <si>
    <t>평택고덕A-56BL</t>
  </si>
  <si>
    <t>에스지씨이앤씨(주)</t>
  </si>
  <si>
    <t>군포대야미A-2BL신혼희망타운</t>
  </si>
  <si>
    <t>삼성물산(주)</t>
  </si>
  <si>
    <t>안산 글로벌클라우드 센터</t>
  </si>
  <si>
    <t>프로젝트 TIMBUKTU</t>
  </si>
  <si>
    <t>5월 채용 현황</t>
  </si>
  <si>
    <t>서수원에피트센트럴마크M2블록</t>
  </si>
  <si>
    <t>계룡건설산업(주)</t>
  </si>
  <si>
    <t>엘리프한신더휴수원C3블록</t>
  </si>
  <si>
    <t>한신공영(주)</t>
  </si>
  <si>
    <t>엘리프한신더휴수원D3블록</t>
  </si>
  <si>
    <t>6월 채용 현황</t>
  </si>
  <si>
    <t>시흥하중지구A4블록신혼희망타운</t>
  </si>
  <si>
    <t>(주)보미건설</t>
  </si>
  <si>
    <t>더샘병원</t>
  </si>
  <si>
    <t>두산건설(주)</t>
  </si>
  <si>
    <t>두산위브더센트럴수원</t>
  </si>
  <si>
    <t>(주)그린시티건설</t>
  </si>
  <si>
    <t>의왕청계역시티프라디움하모니아</t>
  </si>
  <si>
    <t>에스엠스틸(주) 건설부문</t>
  </si>
  <si>
    <t>클러스터용인경남아너스빌</t>
  </si>
  <si>
    <t>용인푸르지오원클러스터파크</t>
  </si>
  <si>
    <t>(주)태왕이앤씨</t>
  </si>
  <si>
    <t>과천주암C1블록</t>
  </si>
  <si>
    <t>(주)한토건설</t>
  </si>
  <si>
    <t>동탄그웬160</t>
  </si>
  <si>
    <t>(주)탑랜드타워</t>
  </si>
  <si>
    <t>금호건설(주)</t>
  </si>
  <si>
    <t>고덕신도시아테라</t>
  </si>
  <si>
    <t>7월 채용 현황</t>
  </si>
  <si>
    <t>우미건설(주)</t>
  </si>
  <si>
    <t>오산세교우미린레이크시티</t>
  </si>
  <si>
    <t>용인푸르지오클루센트</t>
  </si>
  <si>
    <t>㈜유건설 단종계약</t>
  </si>
  <si>
    <t>혜우이엔씨㈜</t>
  </si>
  <si>
    <t>관양동주상복합</t>
  </si>
  <si>
    <t>고덕종합건설</t>
  </si>
  <si>
    <t>기흥변전소</t>
  </si>
  <si>
    <t>(주)한양건설</t>
  </si>
  <si>
    <t>한양립스</t>
  </si>
  <si>
    <t>8월 채용 현황</t>
  </si>
  <si>
    <t>안양역센트럴아이파크수자인</t>
  </si>
  <si>
    <t>배곧서울대학교병원</t>
  </si>
  <si>
    <t>동원건설산업(주)</t>
  </si>
  <si>
    <t>제3판교 테크노밸리 상업 1-2,3블럭 업무시설</t>
  </si>
  <si>
    <t>대방산업개발(주)</t>
  </si>
  <si>
    <t>시흥거모지구대방엘리움더루체I</t>
  </si>
  <si>
    <t>라온건설(주)</t>
  </si>
  <si>
    <t>용인플랫폼시티라온프라이빗아르디에</t>
  </si>
  <si>
    <t>화성능동A-1BL공동주택</t>
  </si>
  <si>
    <t>9월 채용 현황</t>
  </si>
  <si>
    <t>평택고덕우미린프레스티지</t>
  </si>
  <si>
    <t>미정 1대 (배정 미확정)</t>
  </si>
  <si>
    <t>(주)포스코이앤씨</t>
  </si>
  <si>
    <t>경기도 여주시 홍문동 홍문2지구 공동주택 신축공사</t>
  </si>
  <si>
    <t>이수건설(주)</t>
  </si>
  <si>
    <t>시흥하중A1BL</t>
  </si>
  <si>
    <t>동부건설(주)</t>
  </si>
  <si>
    <t>용인클러스터 상생협력시설(기숙사 1차)</t>
  </si>
  <si>
    <t>미정 3대 (배정 미확정)</t>
  </si>
  <si>
    <t>미정 2대 (배정 미확정)</t>
  </si>
  <si>
    <t>용인덕성 AI데이터센터</t>
  </si>
  <si>
    <t>(주)서희건설</t>
  </si>
  <si>
    <t>화성비봉 지역주택조합 아파트 신축공사</t>
  </si>
  <si>
    <t>기타(비고에 작성)</t>
  </si>
  <si>
    <t>수원 친환경 에너지 개선공사</t>
  </si>
  <si>
    <t>지에스건설(주)</t>
  </si>
  <si>
    <t>수지자이에디시온</t>
  </si>
  <si>
    <t>삼성이앤에이(주)</t>
  </si>
  <si>
    <t>오산 AMK R&amp;D</t>
  </si>
  <si>
    <t>※ 미정 12대 아직 미반영 (인력 확정 시 비율 변동)</t>
  </si>
  <si>
    <t>10월 채용 현황</t>
  </si>
  <si>
    <t>(주)모아주택산업, (주)로제비앙건설</t>
  </si>
  <si>
    <t>시흥거모 B-6BL 모아엘가&amp;대광로제비앙 공동주택 신축공사</t>
  </si>
  <si>
    <t>주식회사 필윅스</t>
  </si>
  <si>
    <t>(주)호반건설</t>
  </si>
  <si>
    <t>시흥시 거모지구 B-1블록 공동주택 신축공사</t>
  </si>
  <si>
    <t>(주)대원</t>
  </si>
  <si>
    <t>이천 증포5지구 칸타빌 에듀파크 신축공사</t>
  </si>
  <si>
    <r>
      <t>(</t>
    </r>
    <r>
      <rPr>
        <sz val="11"/>
        <color rgb="FF000000"/>
        <rFont val="맑은 고딕"/>
        <family val="3"/>
      </rPr>
      <t>주</t>
    </r>
    <r>
      <rPr>
        <sz val="11"/>
        <color rgb="FF000000"/>
        <rFont val="Arial"/>
        <family val="2"/>
      </rPr>
      <t>)</t>
    </r>
    <r>
      <rPr>
        <sz val="11"/>
        <color rgb="FF000000"/>
        <rFont val="맑은 고딕"/>
        <family val="3"/>
      </rPr>
      <t>남산공영</t>
    </r>
  </si>
  <si>
    <t>오산세교2지구 M1블록 민간임대 주상복합 신축공사</t>
  </si>
  <si>
    <t>평택 고덕국제신도시 A-67BL 공동주택 신축공사</t>
  </si>
  <si>
    <t>주식회사 현성건설</t>
  </si>
  <si>
    <t>평택고덕 ABC-61BL 공동주택 신축공사</t>
  </si>
  <si>
    <t>남부지부 소계</t>
  </si>
  <si>
    <t>남서</t>
  </si>
  <si>
    <t>남양우미린</t>
  </si>
  <si>
    <t>남서지부 소계</t>
  </si>
  <si>
    <t>동부</t>
  </si>
  <si>
    <t>이천한양</t>
  </si>
  <si>
    <t>현성</t>
  </si>
  <si>
    <t>통계제외</t>
  </si>
  <si>
    <t>요진건설</t>
  </si>
  <si>
    <t>홍문2지구 공동주택</t>
  </si>
  <si>
    <t>동부지부 소계</t>
  </si>
  <si>
    <t>서부</t>
  </si>
  <si>
    <t>안산프로젝트팀부크(현대건설)</t>
  </si>
  <si>
    <t>안산글로벌클라우드(삼성물산)</t>
  </si>
  <si>
    <t>하중지구 한신공영</t>
  </si>
  <si>
    <t>하중지구 양우건설</t>
  </si>
  <si>
    <t>시흥거모지구 S-2BL,B-2BL(대방산업개발)</t>
  </si>
  <si>
    <t>시흥하중 A-1BL 공동주택 건설공사</t>
  </si>
  <si>
    <t>원청사: 강산건설(주)</t>
  </si>
  <si>
    <t>서부지부 소계</t>
  </si>
  <si>
    <t>북서</t>
  </si>
  <si>
    <t>군포시 SGC건설</t>
  </si>
  <si>
    <t>관양동 DL이앤씨</t>
  </si>
  <si>
    <t>의왕청계 시티건설</t>
  </si>
  <si>
    <t>과천 태왕</t>
  </si>
  <si>
    <t>과천 주암동 디에이치 아델스타(현대건설)</t>
  </si>
  <si>
    <t>안양 샘병원</t>
  </si>
  <si>
    <t>안양 박달동 신안아파트 재건축(현대산업개발)</t>
  </si>
  <si>
    <t>안양역세권지구 재개발정비사업(현대산업개발)</t>
  </si>
  <si>
    <t>관양동 오피스텔 신축공사</t>
  </si>
  <si>
    <t>북서지부 소계</t>
  </si>
  <si>
    <t>용인</t>
  </si>
  <si>
    <t>양지 대우 원클러스터</t>
  </si>
  <si>
    <t>양지 SM경남 아너스빌</t>
  </si>
  <si>
    <t>역북 푸르지오 클루센트(대우건설)</t>
  </si>
  <si>
    <t>고림 대광로제비앙</t>
  </si>
  <si>
    <t>백암 오뚜기물류센타</t>
  </si>
  <si>
    <t>마평동 여성복지회관</t>
  </si>
  <si>
    <t>용인 라온프라이빗</t>
  </si>
  <si>
    <t>용인덕성 AI데이터센터 신축공사</t>
  </si>
  <si>
    <t>원철규(미정3)</t>
  </si>
  <si>
    <t>용인지부 소계</t>
  </si>
  <si>
    <t>중부</t>
  </si>
  <si>
    <t>당수동 한신</t>
  </si>
  <si>
    <t>당수동 한라</t>
  </si>
  <si>
    <t>당수동 계룡</t>
  </si>
  <si>
    <t>영화동 두산</t>
  </si>
  <si>
    <t>수원 친환경 에너지 개선공사 주기기 구매</t>
  </si>
  <si>
    <t>중부지부 소계</t>
  </si>
  <si>
    <t>대보건설(주)</t>
  </si>
  <si>
    <t>제일건설(주)</t>
  </si>
  <si>
    <t>※ 미정 2대 아직 미반영 (인력 확정 시 비율 변동)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</si>
</sst>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5" x14ac:knownFonts="1">
    <font>
      <sz val="11"/>
      <color theme="1"/>
      <name val="맑은 고딕"/>
    </font>
    <font>
      <sz val="11"/>
      <color theme="1"/>
      <name val="맑은 고딕"/>
    </font>
    <font>
      <sz val="11"/>
      <color rgb="FFFF0000"/>
      <name val="맑은 고딕"/>
    </font>
    <font>
      <b/>
      <sz val="10"/>
      <color rgb="FFFFFFFF"/>
      <name val="맑은 고딕"/>
    </font>
    <font>
      <b/>
      <sz val="10"/>
      <color rgb="FFFFFFFF"/>
      <name val="Noto Sans CJK SC"/>
    </font>
    <font>
      <b/>
      <sz val="10"/>
      <name val="Noto Sans CJK SC"/>
    </font>
    <font>
      <b/>
      <sz val="10"/>
      <name val="Arial"/>
    </font>
    <font>
      <sz val="10"/>
      <name val="Noto Sans CJK SC"/>
    </font>
    <font>
      <sz val="10"/>
      <name val="Arial"/>
    </font>
    <font>
      <b/>
      <sz val="13"/>
      <color rgb="FFFFFFFF"/>
      <name val="Noto Sans CJK SC"/>
    </font>
    <font>
      <i/>
      <sz val="10"/>
      <color rgb="FF999999"/>
      <name val="Arial"/>
    </font>
    <font>
      <i/>
      <sz val="10"/>
      <color rgb="FF999999"/>
      <name val="Noto Sans CJK SC"/>
    </font>
    <font>
      <sz val="10"/>
      <color rgb="FFB45309"/>
      <name val="Noto Sans CJK SC"/>
    </font>
    <font>
      <b/>
      <sz val="14"/>
      <color rgb="FFFFFFFF"/>
      <name val="Noto Sans CJK SC"/>
    </font>
    <font>
      <sz val="10"/>
      <color rgb="FFFF0000"/>
      <name val="Arial"/>
    </font>
    <font>
      <b/>
      <sz val="16"/>
      <color rgb="FF1F497D"/>
      <name val="맑은 고딕"/>
    </font>
    <font>
      <b/>
      <sz val="10"/>
      <color rgb="FF595959"/>
      <name val="맑은 고딕"/>
    </font>
    <font>
      <b/>
      <sz val="12"/>
      <color rgb="FF000000"/>
      <name val="맑은 고딕"/>
    </font>
    <font>
      <b/>
      <sz val="11"/>
      <color rgb="FFFFFFFF"/>
      <name val="맑은 고딕"/>
    </font>
    <font>
      <b/>
      <sz val="11"/>
      <name val="맑은 고딕"/>
    </font>
    <font>
      <b/>
      <sz val="10"/>
      <name val="맑은 고딕"/>
    </font>
    <font>
      <sz val="10"/>
      <name val="맑은 고딕"/>
    </font>
    <font>
      <sz val="9"/>
      <color rgb="FF595959"/>
      <name val="맑은 고딕"/>
    </font>
    <font>
      <b/>
      <sz val="12"/>
      <color rgb="FFFFFFFF"/>
      <name val="맑은 고딕"/>
    </font>
    <font>
      <b/>
      <sz val="11"/>
      <color rgb="FFFFFFFF"/>
      <name val="Noto Sans CJK SC"/>
    </font>
    <font>
      <b/>
      <sz val="11"/>
      <name val="Noto Sans CJK SC"/>
    </font>
    <font>
      <b/>
      <sz val="11"/>
      <color rgb="FF1F3864"/>
      <name val="맑은 고딕"/>
    </font>
    <font>
      <b/>
      <sz val="10"/>
      <color rgb="FFC00000"/>
      <name val="맑은 고딕"/>
    </font>
    <font>
      <sz val="9"/>
      <color rgb="FFC00000"/>
      <name val="Noto Sans CJK SC"/>
    </font>
    <font>
      <b/>
      <sz val="10"/>
      <color rgb="FFC00000"/>
      <name val="Noto Sans CJK SC"/>
    </font>
    <font>
      <sz val="9"/>
      <color rgb="FF000000"/>
      <name val="맑은 고딕"/>
    </font>
    <font>
      <sz val="9"/>
      <color rgb="FF9C6500"/>
      <name val="맑은 고딕"/>
    </font>
    <font>
      <sz val="11"/>
      <color rgb="FF000000"/>
      <name val="맑은 고딕"/>
    </font>
    <font>
      <i/>
      <sz val="11"/>
      <color rgb="FF000000"/>
      <name val="맑은 고딕"/>
    </font>
    <font>
      <b/>
      <sz val="10"/>
      <color rgb="FF000000"/>
      <name val="Noto Sans CJK SC"/>
    </font>
    <font>
      <sz val="10"/>
      <color rgb="FF000000"/>
      <name val="맑은 고딕"/>
    </font>
    <font>
      <sz val="11"/>
      <color rgb="FF000000"/>
      <name val="맑은 고딕"/>
    </font>
    <font>
      <sz val="11"/>
      <color rgb="FF000000"/>
      <name val="Noto Sans CJK SC"/>
    </font>
    <font>
      <sz val="10"/>
      <color rgb="FF000000"/>
      <name val="Noto Sans CJK SC"/>
    </font>
    <font>
      <sz val="12"/>
      <color rgb="FF000000"/>
      <name val="맑은 고딕"/>
    </font>
    <font>
      <b/>
      <sz val="10"/>
      <color rgb="FF000000"/>
      <name val="Arial"/>
    </font>
    <font>
      <b/>
      <i/>
      <sz val="10"/>
      <color rgb="FF000000"/>
      <name val="Noto Sans CJK SC"/>
    </font>
    <font>
      <sz val="11"/>
      <color rgb="FFFF0000"/>
      <name val="맑은 고딕"/>
    </font>
    <font>
      <i/>
      <sz val="11"/>
      <color rgb="FFFF0000"/>
      <name val="맑은 고딕"/>
    </font>
    <font>
      <b/>
      <sz val="9"/>
      <color rgb="FFFFFFFF"/>
      <name val="Noto Sans CJK SC"/>
    </font>
    <font>
      <b/>
      <sz val="11"/>
      <color theme="1"/>
      <name val="맑은 고딕"/>
    </font>
    <font>
      <b/>
      <sz val="10"/>
      <color rgb="FFFF0000"/>
      <name val="Arial"/>
    </font>
    <font>
      <b/>
      <sz val="11"/>
      <color rgb="FFFF0000"/>
      <name val="맑은 고딕"/>
    </font>
    <font>
      <b/>
      <i/>
      <sz val="10"/>
      <color rgb="FF999999"/>
      <name val="Arial"/>
    </font>
    <font>
      <b/>
      <sz val="11"/>
      <color rgb="FF000000"/>
      <name val="맑은 고딕"/>
    </font>
    <font>
      <b/>
      <i/>
      <sz val="11"/>
      <color rgb="FF000000"/>
      <name val="맑은 고딕"/>
    </font>
    <font>
      <b/>
      <i/>
      <sz val="10"/>
      <color rgb="FF999999"/>
      <name val="Noto Sans CJK SC"/>
    </font>
    <font>
      <b/>
      <sz val="10"/>
      <color rgb="FFB45309"/>
      <name val="Noto Sans CJK SC"/>
    </font>
    <font>
      <sz val="11"/>
      <color rgb="FF000000"/>
      <name val="맑은 고딕"/>
      <family val="3"/>
    </font>
    <font>
      <sz val="11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1F2D3D"/>
      </patternFill>
    </fill>
    <fill>
      <patternFill patternType="solid">
        <fgColor rgb="FF3B6EA5"/>
      </patternFill>
    </fill>
    <fill>
      <patternFill patternType="solid">
        <fgColor rgb="FFB5483D"/>
      </patternFill>
    </fill>
    <fill>
      <patternFill patternType="solid">
        <fgColor rgb="FF8A5FA8"/>
      </patternFill>
    </fill>
    <fill>
      <patternFill patternType="solid">
        <fgColor rgb="FFC97A2E"/>
      </patternFill>
    </fill>
    <fill>
      <patternFill patternType="solid">
        <fgColor rgb="FF7A8389"/>
      </patternFill>
    </fill>
    <fill>
      <patternFill patternType="solid">
        <fgColor rgb="FF4A9168"/>
      </patternFill>
    </fill>
    <fill>
      <patternFill patternType="solid">
        <fgColor rgb="FFF8FAFC"/>
      </patternFill>
    </fill>
    <fill>
      <patternFill patternType="solid">
        <fgColor rgb="FFEFF3F8"/>
      </patternFill>
    </fill>
    <fill>
      <patternFill patternType="solid">
        <fgColor rgb="FF1F497D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366092"/>
      </patternFill>
    </fill>
    <fill>
      <patternFill patternType="solid">
        <fgColor rgb="FFF9FAFB"/>
      </patternFill>
    </fill>
    <fill>
      <patternFill patternType="solid">
        <fgColor rgb="FFE9EDF4"/>
      </patternFill>
    </fill>
    <fill>
      <patternFill patternType="solid">
        <fgColor rgb="FF2F5597"/>
      </patternFill>
    </fill>
    <fill>
      <patternFill patternType="solid">
        <fgColor rgb="FF44546A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E699"/>
      </patternFill>
    </fill>
    <fill>
      <patternFill patternType="solid">
        <fgColor rgb="FFFFEB9C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8EEF7"/>
      </patternFill>
    </fill>
    <fill>
      <patternFill patternType="solid">
        <fgColor rgb="FF1F4E78"/>
      </patternFill>
    </fill>
    <fill>
      <patternFill patternType="solid">
        <fgColor rgb="FF44546A"/>
      </patternFill>
    </fill>
    <fill>
      <patternFill patternType="solid">
        <fgColor rgb="FFEFF3F8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1D5DB"/>
      </bottom>
      <diagonal/>
    </border>
  </borders>
  <cellStyleXfs count="4">
    <xf numFmtId="0" fontId="0" fillId="0" borderId="4">
      <alignment vertical="center"/>
    </xf>
    <xf numFmtId="0" fontId="1" fillId="0" borderId="4"/>
    <xf numFmtId="0" fontId="1" fillId="0" borderId="4"/>
    <xf numFmtId="0" fontId="1" fillId="0" borderId="4">
      <alignment vertical="center"/>
    </xf>
  </cellStyleXfs>
  <cellXfs count="164">
    <xf numFmtId="0" fontId="0" fillId="0" borderId="0" xfId="0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18" fillId="11" borderId="0" xfId="0" applyFont="1" applyFill="1" applyBorder="1" applyAlignment="1">
      <alignment horizontal="center" vertical="center"/>
    </xf>
    <xf numFmtId="3" fontId="19" fillId="12" borderId="0" xfId="0" applyNumberFormat="1" applyFont="1" applyFill="1" applyBorder="1" applyAlignment="1">
      <alignment horizontal="center" vertical="center"/>
    </xf>
    <xf numFmtId="0" fontId="20" fillId="13" borderId="0" xfId="0" applyFont="1" applyFill="1" applyBorder="1" applyAlignment="1">
      <alignment horizontal="center" vertical="center"/>
    </xf>
    <xf numFmtId="0" fontId="3" fillId="14" borderId="0" xfId="0" applyFont="1" applyFill="1" applyBorder="1" applyAlignment="1">
      <alignment horizontal="center" vertical="center" wrapText="1"/>
    </xf>
    <xf numFmtId="0" fontId="21" fillId="15" borderId="2" xfId="0" applyFont="1" applyFill="1" applyBorder="1" applyAlignment="1">
      <alignment horizontal="center" vertical="center"/>
    </xf>
    <xf numFmtId="0" fontId="21" fillId="15" borderId="2" xfId="0" applyFont="1" applyFill="1" applyBorder="1" applyAlignment="1">
      <alignment horizontal="left" vertical="center"/>
    </xf>
    <xf numFmtId="3" fontId="20" fillId="15" borderId="2" xfId="0" applyNumberFormat="1" applyFont="1" applyFill="1" applyBorder="1" applyAlignment="1">
      <alignment horizontal="center" vertical="center"/>
    </xf>
    <xf numFmtId="3" fontId="21" fillId="15" borderId="2" xfId="0" applyNumberFormat="1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3" fontId="20" fillId="0" borderId="2" xfId="0" applyNumberFormat="1" applyFont="1" applyBorder="1" applyAlignment="1">
      <alignment horizontal="center" vertical="center"/>
    </xf>
    <xf numFmtId="3" fontId="21" fillId="0" borderId="2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0" fillId="16" borderId="3" xfId="0" applyFont="1" applyFill="1" applyBorder="1" applyAlignment="1"/>
    <xf numFmtId="0" fontId="20" fillId="16" borderId="3" xfId="0" applyFont="1" applyFill="1" applyBorder="1" applyAlignment="1">
      <alignment horizontal="center" vertical="center"/>
    </xf>
    <xf numFmtId="3" fontId="20" fillId="16" borderId="3" xfId="0" applyNumberFormat="1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Border="1">
      <alignment vertical="center"/>
    </xf>
    <xf numFmtId="176" fontId="8" fillId="0" borderId="1" xfId="0" applyNumberFormat="1" applyFont="1" applyBorder="1" applyAlignment="1">
      <alignment horizontal="center" vertical="center" wrapText="1"/>
    </xf>
    <xf numFmtId="176" fontId="21" fillId="13" borderId="0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Border="1" applyAlignment="1"/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24" fillId="18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" fontId="19" fillId="19" borderId="5" xfId="0" applyNumberFormat="1" applyFont="1" applyFill="1" applyBorder="1" applyAlignment="1">
      <alignment horizontal="center" vertical="center"/>
    </xf>
    <xf numFmtId="0" fontId="0" fillId="19" borderId="5" xfId="0" applyFill="1" applyBorder="1" applyAlignment="1">
      <alignment horizontal="center" vertical="center"/>
    </xf>
    <xf numFmtId="176" fontId="36" fillId="27" borderId="5" xfId="0" applyNumberFormat="1" applyFont="1" applyFill="1" applyBorder="1" applyAlignment="1">
      <alignment horizontal="center" vertical="center" wrapText="1"/>
    </xf>
    <xf numFmtId="0" fontId="36" fillId="27" borderId="5" xfId="0" applyFont="1" applyFill="1" applyBorder="1" applyAlignment="1">
      <alignment horizontal="center" vertical="center" wrapText="1"/>
    </xf>
    <xf numFmtId="0" fontId="30" fillId="24" borderId="5" xfId="0" applyFont="1" applyFill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5" fillId="27" borderId="5" xfId="0" applyFont="1" applyFill="1" applyBorder="1" applyAlignment="1">
      <alignment horizontal="center" vertical="center" wrapText="1"/>
    </xf>
    <xf numFmtId="1" fontId="35" fillId="27" borderId="5" xfId="0" applyNumberFormat="1" applyFont="1" applyFill="1" applyBorder="1" applyAlignment="1">
      <alignment horizontal="center" vertical="center" wrapText="1"/>
    </xf>
    <xf numFmtId="1" fontId="36" fillId="27" borderId="5" xfId="0" applyNumberFormat="1" applyFont="1" applyFill="1" applyBorder="1" applyAlignment="1">
      <alignment horizontal="center" vertical="center" wrapText="1"/>
    </xf>
    <xf numFmtId="0" fontId="26" fillId="26" borderId="5" xfId="0" applyFont="1" applyFill="1" applyBorder="1" applyAlignment="1">
      <alignment horizontal="center" vertical="center"/>
    </xf>
    <xf numFmtId="1" fontId="26" fillId="20" borderId="5" xfId="0" applyNumberFormat="1" applyFont="1" applyFill="1" applyBorder="1" applyAlignment="1">
      <alignment horizontal="center" vertical="center"/>
    </xf>
    <xf numFmtId="0" fontId="39" fillId="27" borderId="5" xfId="0" applyFont="1" applyFill="1" applyBorder="1" applyAlignment="1">
      <alignment horizontal="center" vertical="center" wrapText="1"/>
    </xf>
    <xf numFmtId="0" fontId="4" fillId="30" borderId="5" xfId="0" applyFont="1" applyFill="1" applyBorder="1" applyAlignment="1">
      <alignment horizontal="center" vertical="center" wrapText="1"/>
    </xf>
    <xf numFmtId="0" fontId="18" fillId="30" borderId="5" xfId="0" applyFont="1" applyFill="1" applyBorder="1" applyAlignment="1">
      <alignment horizontal="center" vertical="center" wrapText="1"/>
    </xf>
    <xf numFmtId="0" fontId="3" fillId="30" borderId="5" xfId="0" applyFont="1" applyFill="1" applyBorder="1" applyAlignment="1">
      <alignment horizontal="center" vertical="center" wrapText="1"/>
    </xf>
    <xf numFmtId="0" fontId="37" fillId="27" borderId="5" xfId="0" applyFont="1" applyFill="1" applyBorder="1" applyAlignment="1">
      <alignment horizontal="center" vertical="center" wrapText="1"/>
    </xf>
    <xf numFmtId="0" fontId="0" fillId="20" borderId="5" xfId="0" applyFill="1" applyBorder="1" applyAlignment="1">
      <alignment horizontal="center" vertical="center"/>
    </xf>
    <xf numFmtId="0" fontId="39" fillId="27" borderId="5" xfId="0" applyFont="1" applyFill="1" applyBorder="1" applyAlignment="1">
      <alignment horizontal="center" vertical="center"/>
    </xf>
    <xf numFmtId="0" fontId="36" fillId="27" borderId="5" xfId="0" applyFont="1" applyFill="1" applyBorder="1" applyAlignment="1">
      <alignment horizontal="center" vertical="center"/>
    </xf>
    <xf numFmtId="0" fontId="44" fillId="30" borderId="5" xfId="0" applyFont="1" applyFill="1" applyBorder="1" applyAlignment="1">
      <alignment horizontal="center" vertical="center" wrapText="1"/>
    </xf>
    <xf numFmtId="0" fontId="30" fillId="23" borderId="5" xfId="0" applyFont="1" applyFill="1" applyBorder="1" applyAlignment="1">
      <alignment horizontal="center" vertical="center"/>
    </xf>
    <xf numFmtId="0" fontId="31" fillId="22" borderId="5" xfId="0" applyFont="1" applyFill="1" applyBorder="1" applyAlignment="1">
      <alignment horizontal="center" vertical="center"/>
    </xf>
    <xf numFmtId="0" fontId="27" fillId="21" borderId="5" xfId="0" applyFont="1" applyFill="1" applyBorder="1" applyAlignment="1">
      <alignment horizontal="center" vertical="center"/>
    </xf>
    <xf numFmtId="0" fontId="28" fillId="0" borderId="5" xfId="0" applyFont="1" applyBorder="1" applyAlignment="1">
      <alignment horizontal="center"/>
    </xf>
    <xf numFmtId="0" fontId="38" fillId="27" borderId="5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25" fillId="20" borderId="5" xfId="0" applyFont="1" applyFill="1" applyBorder="1" applyAlignment="1">
      <alignment horizontal="center" vertical="center"/>
    </xf>
    <xf numFmtId="0" fontId="24" fillId="29" borderId="5" xfId="0" applyFont="1" applyFill="1" applyBorder="1" applyAlignment="1">
      <alignment horizontal="center" vertical="center"/>
    </xf>
    <xf numFmtId="0" fontId="25" fillId="19" borderId="5" xfId="0" applyFont="1" applyFill="1" applyBorder="1" applyAlignment="1">
      <alignment horizontal="center" vertical="center"/>
    </xf>
    <xf numFmtId="0" fontId="29" fillId="19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32" fillId="25" borderId="5" xfId="0" applyFont="1" applyFill="1" applyBorder="1" applyAlignment="1">
      <alignment horizontal="center" vertical="center"/>
    </xf>
    <xf numFmtId="1" fontId="38" fillId="27" borderId="5" xfId="0" applyNumberFormat="1" applyFont="1" applyFill="1" applyBorder="1" applyAlignment="1">
      <alignment horizontal="center" vertical="center" wrapText="1"/>
    </xf>
    <xf numFmtId="0" fontId="34" fillId="28" borderId="5" xfId="0" applyFont="1" applyFill="1" applyBorder="1" applyAlignment="1">
      <alignment horizontal="center" vertical="center" wrapText="1"/>
    </xf>
    <xf numFmtId="1" fontId="40" fillId="28" borderId="5" xfId="0" applyNumberFormat="1" applyFont="1" applyFill="1" applyBorder="1" applyAlignment="1">
      <alignment horizontal="center" vertical="center" wrapText="1"/>
    </xf>
    <xf numFmtId="0" fontId="41" fillId="28" borderId="5" xfId="0" applyFont="1" applyFill="1" applyBorder="1" applyAlignment="1">
      <alignment horizontal="center" vertical="center" wrapText="1"/>
    </xf>
    <xf numFmtId="0" fontId="42" fillId="27" borderId="5" xfId="0" applyFont="1" applyFill="1" applyBorder="1" applyAlignment="1">
      <alignment horizontal="center" vertical="center" wrapText="1"/>
    </xf>
    <xf numFmtId="0" fontId="43" fillId="27" borderId="5" xfId="0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vertical="center"/>
    </xf>
    <xf numFmtId="176" fontId="8" fillId="0" borderId="1" xfId="0" applyNumberFormat="1" applyFont="1" applyFill="1" applyBorder="1" applyAlignment="1">
      <alignment horizontal="center" vertical="center" wrapText="1"/>
    </xf>
    <xf numFmtId="1" fontId="14" fillId="9" borderId="5" xfId="0" applyNumberFormat="1" applyFont="1" applyFill="1" applyBorder="1" applyAlignment="1">
      <alignment horizontal="center" vertical="center" wrapText="1"/>
    </xf>
    <xf numFmtId="1" fontId="2" fillId="0" borderId="5" xfId="0" applyNumberFormat="1" applyFont="1" applyFill="1" applyBorder="1" applyAlignment="1">
      <alignment horizontal="center"/>
    </xf>
    <xf numFmtId="1" fontId="2" fillId="25" borderId="5" xfId="0" applyNumberFormat="1" applyFont="1" applyFill="1" applyBorder="1" applyAlignment="1">
      <alignment horizontal="center" vertical="center" wrapText="1"/>
    </xf>
    <xf numFmtId="0" fontId="5" fillId="31" borderId="5" xfId="0" applyNumberFormat="1" applyFont="1" applyFill="1" applyBorder="1" applyAlignment="1">
      <alignment horizontal="center" vertical="center" wrapText="1"/>
    </xf>
    <xf numFmtId="0" fontId="45" fillId="31" borderId="5" xfId="0" applyNumberFormat="1" applyFont="1" applyFill="1" applyBorder="1" applyAlignment="1">
      <alignment horizontal="center" vertical="center"/>
    </xf>
    <xf numFmtId="1" fontId="46" fillId="31" borderId="5" xfId="0" applyNumberFormat="1" applyFont="1" applyFill="1" applyBorder="1" applyAlignment="1">
      <alignment horizontal="center" vertical="center" wrapText="1"/>
    </xf>
    <xf numFmtId="1" fontId="47" fillId="31" borderId="5" xfId="0" applyNumberFormat="1" applyFont="1" applyFill="1" applyBorder="1" applyAlignment="1">
      <alignment horizontal="center"/>
    </xf>
    <xf numFmtId="1" fontId="5" fillId="31" borderId="5" xfId="0" applyNumberFormat="1" applyFont="1" applyFill="1" applyBorder="1" applyAlignment="1">
      <alignment horizontal="center" vertical="center" wrapText="1"/>
    </xf>
    <xf numFmtId="0" fontId="6" fillId="31" borderId="5" xfId="0" applyNumberFormat="1" applyFont="1" applyFill="1" applyBorder="1" applyAlignment="1">
      <alignment horizontal="center" vertical="center" wrapText="1"/>
    </xf>
    <xf numFmtId="1" fontId="6" fillId="31" borderId="5" xfId="0" applyNumberFormat="1" applyFont="1" applyFill="1" applyBorder="1" applyAlignment="1">
      <alignment horizontal="center" vertical="center" wrapText="1"/>
    </xf>
    <xf numFmtId="0" fontId="48" fillId="31" borderId="5" xfId="0" applyNumberFormat="1" applyFont="1" applyFill="1" applyBorder="1" applyAlignment="1">
      <alignment horizontal="center" vertical="center" wrapText="1"/>
    </xf>
    <xf numFmtId="0" fontId="49" fillId="31" borderId="5" xfId="0" applyNumberFormat="1" applyFont="1" applyFill="1" applyBorder="1" applyAlignment="1">
      <alignment horizontal="center" vertical="center"/>
    </xf>
    <xf numFmtId="1" fontId="49" fillId="31" borderId="5" xfId="0" applyNumberFormat="1" applyFont="1" applyFill="1" applyBorder="1" applyAlignment="1">
      <alignment horizontal="center" vertical="center"/>
    </xf>
    <xf numFmtId="0" fontId="50" fillId="31" borderId="5" xfId="0" applyNumberFormat="1" applyFont="1" applyFill="1" applyBorder="1" applyAlignment="1">
      <alignment horizontal="center" vertical="center"/>
    </xf>
    <xf numFmtId="1" fontId="0" fillId="31" borderId="0" xfId="0" applyNumberFormat="1" applyFont="1" applyFill="1" applyBorder="1" applyAlignment="1">
      <alignment vertical="center"/>
    </xf>
    <xf numFmtId="0" fontId="45" fillId="31" borderId="0" xfId="0" applyNumberFormat="1" applyFont="1" applyFill="1" applyBorder="1" applyAlignment="1">
      <alignment vertical="center"/>
    </xf>
    <xf numFmtId="1" fontId="45" fillId="31" borderId="0" xfId="0" applyNumberFormat="1" applyFont="1" applyFill="1" applyBorder="1" applyAlignment="1">
      <alignment vertical="center"/>
    </xf>
    <xf numFmtId="0" fontId="5" fillId="32" borderId="5" xfId="0" applyNumberFormat="1" applyFont="1" applyFill="1" applyBorder="1" applyAlignment="1">
      <alignment horizontal="center" vertical="center" wrapText="1"/>
    </xf>
    <xf numFmtId="1" fontId="5" fillId="32" borderId="5" xfId="0" applyNumberFormat="1" applyFont="1" applyFill="1" applyBorder="1" applyAlignment="1">
      <alignment horizontal="center" vertical="center" wrapText="1"/>
    </xf>
    <xf numFmtId="0" fontId="6" fillId="32" borderId="5" xfId="0" applyNumberFormat="1" applyFont="1" applyFill="1" applyBorder="1" applyAlignment="1">
      <alignment horizontal="center" vertical="center" wrapText="1"/>
    </xf>
    <xf numFmtId="0" fontId="7" fillId="33" borderId="5" xfId="0" applyNumberFormat="1" applyFont="1" applyFill="1" applyBorder="1" applyAlignment="1">
      <alignment horizontal="center" vertical="center" wrapText="1"/>
    </xf>
    <xf numFmtId="0" fontId="0" fillId="33" borderId="5" xfId="0" applyNumberFormat="1" applyFont="1" applyFill="1" applyBorder="1" applyAlignment="1">
      <alignment horizontal="center" vertical="center"/>
    </xf>
    <xf numFmtId="176" fontId="14" fillId="33" borderId="5" xfId="0" applyNumberFormat="1" applyFont="1" applyFill="1" applyBorder="1" applyAlignment="1">
      <alignment horizontal="center" vertical="center" wrapText="1"/>
    </xf>
    <xf numFmtId="176" fontId="2" fillId="33" borderId="5" xfId="0" applyNumberFormat="1" applyFont="1" applyFill="1" applyBorder="1" applyAlignment="1">
      <alignment horizontal="center"/>
    </xf>
    <xf numFmtId="0" fontId="48" fillId="32" borderId="5" xfId="0" applyNumberFormat="1" applyFont="1" applyFill="1" applyBorder="1" applyAlignment="1">
      <alignment horizontal="center" vertical="center" wrapText="1"/>
    </xf>
    <xf numFmtId="1" fontId="6" fillId="32" borderId="5" xfId="0" applyNumberFormat="1" applyFont="1" applyFill="1" applyBorder="1" applyAlignment="1">
      <alignment horizontal="center" vertical="center" wrapText="1"/>
    </xf>
    <xf numFmtId="0" fontId="10" fillId="33" borderId="5" xfId="0" applyNumberFormat="1" applyFont="1" applyFill="1" applyBorder="1" applyAlignment="1">
      <alignment horizontal="center" vertical="center" wrapText="1"/>
    </xf>
    <xf numFmtId="176" fontId="7" fillId="33" borderId="5" xfId="0" applyNumberFormat="1" applyFont="1" applyFill="1" applyBorder="1" applyAlignment="1">
      <alignment horizontal="center" vertical="center" wrapText="1"/>
    </xf>
    <xf numFmtId="176" fontId="6" fillId="33" borderId="5" xfId="0" applyNumberFormat="1" applyFont="1" applyFill="1" applyBorder="1" applyAlignment="1">
      <alignment horizontal="center" vertical="center" wrapText="1"/>
    </xf>
    <xf numFmtId="0" fontId="51" fillId="32" borderId="5" xfId="0" applyNumberFormat="1" applyFont="1" applyFill="1" applyBorder="1" applyAlignment="1">
      <alignment horizontal="center" vertical="center" wrapText="1"/>
    </xf>
    <xf numFmtId="0" fontId="52" fillId="32" borderId="5" xfId="0" applyNumberFormat="1" applyFont="1" applyFill="1" applyBorder="1" applyAlignment="1">
      <alignment horizontal="center" vertical="center" wrapText="1"/>
    </xf>
    <xf numFmtId="1" fontId="48" fillId="32" borderId="5" xfId="0" applyNumberFormat="1" applyFont="1" applyFill="1" applyBorder="1" applyAlignment="1">
      <alignment horizontal="center" vertical="center" wrapText="1"/>
    </xf>
    <xf numFmtId="0" fontId="12" fillId="33" borderId="5" xfId="0" applyNumberFormat="1" applyFont="1" applyFill="1" applyBorder="1" applyAlignment="1">
      <alignment horizontal="center" vertical="center" wrapText="1"/>
    </xf>
    <xf numFmtId="0" fontId="49" fillId="32" borderId="5" xfId="0" applyNumberFormat="1" applyFont="1" applyFill="1" applyBorder="1" applyAlignment="1">
      <alignment horizontal="center" vertical="center"/>
    </xf>
    <xf numFmtId="0" fontId="50" fillId="32" borderId="5" xfId="0" applyNumberFormat="1" applyFont="1" applyFill="1" applyBorder="1" applyAlignment="1">
      <alignment horizontal="center" vertical="center"/>
    </xf>
    <xf numFmtId="1" fontId="49" fillId="32" borderId="5" xfId="0" applyNumberFormat="1" applyFont="1" applyFill="1" applyBorder="1" applyAlignment="1">
      <alignment horizontal="center" vertical="center"/>
    </xf>
    <xf numFmtId="0" fontId="32" fillId="33" borderId="5" xfId="0" applyNumberFormat="1" applyFont="1" applyFill="1" applyBorder="1" applyAlignment="1">
      <alignment horizontal="center" vertical="center"/>
    </xf>
    <xf numFmtId="0" fontId="33" fillId="33" borderId="5" xfId="0" applyNumberFormat="1" applyFont="1" applyFill="1" applyBorder="1" applyAlignment="1">
      <alignment horizontal="center" vertical="center"/>
    </xf>
    <xf numFmtId="176" fontId="32" fillId="33" borderId="5" xfId="0" applyNumberFormat="1" applyFont="1" applyFill="1" applyBorder="1" applyAlignment="1">
      <alignment horizontal="center" vertical="center"/>
    </xf>
    <xf numFmtId="0" fontId="45" fillId="32" borderId="0" xfId="0" applyNumberFormat="1" applyFont="1" applyFill="1" applyBorder="1" applyAlignment="1">
      <alignment vertical="center"/>
    </xf>
    <xf numFmtId="1" fontId="45" fillId="32" borderId="0" xfId="0" applyNumberFormat="1" applyFont="1" applyFill="1" applyBorder="1" applyAlignment="1">
      <alignment vertical="center"/>
    </xf>
    <xf numFmtId="0" fontId="0" fillId="33" borderId="0" xfId="0" applyNumberFormat="1" applyFont="1" applyFill="1" applyBorder="1" applyAlignment="1">
      <alignment vertical="center"/>
    </xf>
    <xf numFmtId="176" fontId="0" fillId="33" borderId="0" xfId="0" applyNumberFormat="1" applyFont="1" applyFill="1" applyBorder="1" applyAlignment="1">
      <alignment vertic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0" fontId="32" fillId="31" borderId="5" xfId="0" applyNumberFormat="1" applyFont="1" applyFill="1" applyBorder="1" applyAlignment="1">
      <alignment horizontal="center" vertical="center" wrapText="1"/>
    </xf>
    <xf numFmtId="176" fontId="0" fillId="33" borderId="0" xfId="0" applyNumberFormat="1" applyFont="1" applyFill="1" applyBorder="1" applyAlignment="1">
      <alignment horizontal="center" vertical="center"/>
    </xf>
    <xf numFmtId="1" fontId="32" fillId="10" borderId="5" xfId="0" applyNumberFormat="1" applyFont="1" applyFill="1" applyBorder="1" applyAlignment="1">
      <alignment horizontal="center" vertical="center" wrapText="1"/>
    </xf>
    <xf numFmtId="0" fontId="9" fillId="2" borderId="4" xfId="0" applyFont="1" applyFill="1" applyAlignment="1">
      <alignment horizontal="center" vertical="center" wrapText="1"/>
    </xf>
    <xf numFmtId="0" fontId="0" fillId="0" borderId="4" xfId="0" applyAlignment="1"/>
    <xf numFmtId="0" fontId="13" fillId="2" borderId="5" xfId="0" applyFont="1" applyFill="1" applyBorder="1" applyAlignment="1">
      <alignment horizontal="center" vertical="center" wrapText="1"/>
    </xf>
    <xf numFmtId="0" fontId="0" fillId="0" borderId="5" xfId="0" applyBorder="1" applyAlignment="1"/>
    <xf numFmtId="0" fontId="9" fillId="2" borderId="6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15" fillId="0" borderId="4" xfId="0" applyFont="1" applyAlignment="1">
      <alignment horizontal="center" vertical="center"/>
    </xf>
    <xf numFmtId="0" fontId="17" fillId="0" borderId="4" xfId="0" applyFont="1" applyAlignment="1"/>
    <xf numFmtId="0" fontId="16" fillId="0" borderId="4" xfId="0" applyFont="1" applyAlignment="1">
      <alignment horizontal="left" vertical="center"/>
    </xf>
    <xf numFmtId="0" fontId="23" fillId="1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7" fillId="27" borderId="5" xfId="0" applyFont="1" applyFill="1" applyBorder="1" applyAlignment="1">
      <alignment horizontal="center" vertical="center" wrapText="1"/>
    </xf>
    <xf numFmtId="0" fontId="25" fillId="19" borderId="5" xfId="0" applyFont="1" applyFill="1" applyBorder="1" applyAlignment="1">
      <alignment horizontal="center" vertical="center"/>
    </xf>
    <xf numFmtId="0" fontId="25" fillId="20" borderId="5" xfId="0" applyFont="1" applyFill="1" applyBorder="1" applyAlignment="1">
      <alignment horizontal="center" vertical="center"/>
    </xf>
    <xf numFmtId="0" fontId="39" fillId="27" borderId="5" xfId="0" applyFont="1" applyFill="1" applyBorder="1" applyAlignment="1">
      <alignment horizontal="center" vertical="center"/>
    </xf>
    <xf numFmtId="0" fontId="24" fillId="29" borderId="5" xfId="0" applyFont="1" applyFill="1" applyBorder="1" applyAlignment="1">
      <alignment horizontal="center" vertical="center"/>
    </xf>
  </cellXfs>
  <cellStyles count="4">
    <cellStyle name="표준" xfId="0" builtinId="0"/>
    <cellStyle name="표준 2 7" xfId="1" xr:uid="{00000000-0005-0000-0000-000001000000}"/>
    <cellStyle name="표준 3" xfId="2" xr:uid="{00000000-0005-0000-0000-000002000000}"/>
    <cellStyle name="표준 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"/>
  <sheetViews>
    <sheetView tabSelected="1" zoomScaleNormal="60" zoomScaleSheetLayoutView="100" workbookViewId="0"/>
  </sheetViews>
  <sheetFormatPr defaultRowHeight="16.5" x14ac:dyDescent="0.25"/>
  <sheetData>
    <row r="1" spans="1:9" x14ac:dyDescent="0.25">
      <c r="A1" s="148" t="s">
        <v>0</v>
      </c>
      <c r="B1" s="149"/>
      <c r="C1" s="149"/>
      <c r="D1" s="149"/>
      <c r="E1" s="149"/>
      <c r="F1" s="149"/>
      <c r="G1" s="149"/>
      <c r="H1" s="149"/>
    </row>
    <row r="2" spans="1:9" x14ac:dyDescent="0.3">
      <c r="A2" s="1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13" t="s">
        <v>7</v>
      </c>
      <c r="H2" s="1" t="s">
        <v>8</v>
      </c>
      <c r="I2" s="1" t="s">
        <v>9</v>
      </c>
    </row>
    <row r="3" spans="1:9" x14ac:dyDescent="0.3">
      <c r="A3" s="8" t="s">
        <v>10</v>
      </c>
      <c r="B3" s="143">
        <v>64</v>
      </c>
      <c r="C3" s="143">
        <v>93</v>
      </c>
      <c r="D3" s="143">
        <v>7</v>
      </c>
      <c r="E3" s="143">
        <v>10</v>
      </c>
      <c r="F3" s="143">
        <v>39</v>
      </c>
      <c r="G3" s="143">
        <v>12</v>
      </c>
      <c r="H3" s="143">
        <f>SUM(B3:G3)</f>
        <v>225</v>
      </c>
      <c r="I3" s="9" t="s">
        <v>11</v>
      </c>
    </row>
    <row r="4" spans="1:9" x14ac:dyDescent="0.3">
      <c r="A4" s="10" t="s">
        <v>9</v>
      </c>
      <c r="B4" s="32">
        <f t="shared" ref="B4:G4" si="0">B3/$H$3</f>
        <v>0.28444444444444444</v>
      </c>
      <c r="C4" s="32">
        <f t="shared" si="0"/>
        <v>0.41333333333333333</v>
      </c>
      <c r="D4" s="32">
        <f t="shared" si="0"/>
        <v>3.111111111111111E-2</v>
      </c>
      <c r="E4" s="32">
        <f t="shared" si="0"/>
        <v>4.4444444444444446E-2</v>
      </c>
      <c r="F4" s="32">
        <f t="shared" si="0"/>
        <v>0.17333333333333334</v>
      </c>
      <c r="G4" s="32">
        <f t="shared" si="0"/>
        <v>5.3333333333333337E-2</v>
      </c>
    </row>
    <row r="9" spans="1:9" s="14" customFormat="1" ht="21.2" customHeight="1" x14ac:dyDescent="0.25"/>
    <row r="10" spans="1:9" s="14" customFormat="1" ht="21.2" customHeight="1" x14ac:dyDescent="0.25"/>
    <row r="11" spans="1:9" s="14" customFormat="1" ht="84.4" customHeight="1" x14ac:dyDescent="0.25"/>
    <row r="12" spans="1:9" s="14" customFormat="1" ht="21.2" customHeight="1" x14ac:dyDescent="0.25"/>
    <row r="14" spans="1:9" s="14" customFormat="1" ht="21.2" customHeight="1" x14ac:dyDescent="0.25"/>
    <row r="15" spans="1:9" s="14" customFormat="1" ht="31.7" customHeight="1" x14ac:dyDescent="0.25"/>
    <row r="16" spans="1:9" s="14" customFormat="1" ht="31.7" customHeight="1" x14ac:dyDescent="0.25"/>
    <row r="17" spans="13:13" s="14" customFormat="1" ht="21.2" customHeight="1" x14ac:dyDescent="0.25"/>
    <row r="18" spans="13:13" s="14" customFormat="1" ht="31.7" customHeight="1" x14ac:dyDescent="0.25"/>
    <row r="19" spans="13:13" s="14" customFormat="1" ht="31.7" customHeight="1" x14ac:dyDescent="0.25"/>
    <row r="20" spans="13:13" s="14" customFormat="1" ht="31.7" customHeight="1" x14ac:dyDescent="0.25"/>
    <row r="21" spans="13:13" s="14" customFormat="1" ht="21.2" customHeight="1" x14ac:dyDescent="0.25"/>
    <row r="22" spans="13:13" s="14" customFormat="1" ht="21.2" customHeight="1" x14ac:dyDescent="0.25"/>
    <row r="23" spans="13:13" s="14" customFormat="1" ht="21.2" customHeight="1" x14ac:dyDescent="0.25"/>
    <row r="24" spans="13:13" s="14" customFormat="1" ht="21.2" customHeight="1" x14ac:dyDescent="0.25"/>
    <row r="25" spans="13:13" s="14" customFormat="1" ht="21.2" customHeight="1" x14ac:dyDescent="0.25"/>
    <row r="26" spans="13:13" s="14" customFormat="1" ht="31.7" customHeight="1" x14ac:dyDescent="0.25"/>
    <row r="27" spans="13:13" s="14" customFormat="1" ht="63.4" customHeight="1" x14ac:dyDescent="0.25"/>
    <row r="28" spans="13:13" s="14" customFormat="1" ht="21.2" customHeight="1" x14ac:dyDescent="0.25"/>
    <row r="29" spans="13:13" x14ac:dyDescent="0.25">
      <c r="M29" s="33"/>
    </row>
    <row r="30" spans="13:13" s="14" customFormat="1" ht="31.7" customHeight="1" x14ac:dyDescent="0.25"/>
    <row r="31" spans="13:13" s="14" customFormat="1" ht="52.9" customHeight="1" x14ac:dyDescent="0.25"/>
    <row r="32" spans="13:13" s="14" customFormat="1" ht="21.2" customHeight="1" x14ac:dyDescent="0.25"/>
    <row r="34" s="14" customFormat="1" ht="21.2" customHeight="1" x14ac:dyDescent="0.25"/>
    <row r="35" s="14" customFormat="1" ht="21.2" customHeight="1" x14ac:dyDescent="0.25"/>
    <row r="36" s="14" customFormat="1" ht="21.2" customHeight="1" x14ac:dyDescent="0.25"/>
    <row r="37" s="14" customFormat="1" ht="21.2" customHeight="1" x14ac:dyDescent="0.25"/>
    <row r="38" s="14" customFormat="1" ht="21.2" customHeight="1" x14ac:dyDescent="0.25"/>
    <row r="39" s="14" customFormat="1" ht="42.4" customHeight="1" x14ac:dyDescent="0.25"/>
    <row r="40" s="14" customFormat="1" ht="42.4" customHeight="1" x14ac:dyDescent="0.25"/>
    <row r="41" s="14" customFormat="1" ht="21.2" customHeight="1" x14ac:dyDescent="0.25"/>
    <row r="42" s="14" customFormat="1" ht="21.2" customHeight="1" x14ac:dyDescent="0.25"/>
    <row r="43" s="14" customFormat="1" ht="52.9" customHeight="1" x14ac:dyDescent="0.25"/>
    <row r="44" s="14" customFormat="1" ht="31.7" customHeight="1" x14ac:dyDescent="0.25"/>
    <row r="45" s="14" customFormat="1" ht="42.4" customHeight="1" x14ac:dyDescent="0.25"/>
    <row r="46" s="14" customFormat="1" ht="21.2" customHeight="1" x14ac:dyDescent="0.25"/>
    <row r="47" s="14" customFormat="1" ht="21.2" customHeight="1" x14ac:dyDescent="0.25"/>
    <row r="48" s="14" customFormat="1" ht="21.2" customHeight="1" x14ac:dyDescent="0.25"/>
    <row r="49" s="14" customFormat="1" ht="21.2" customHeight="1" x14ac:dyDescent="0.25"/>
    <row r="50" s="14" customFormat="1" ht="21.2" customHeight="1" x14ac:dyDescent="0.25"/>
    <row r="51" s="14" customFormat="1" ht="21.2" customHeight="1" x14ac:dyDescent="0.25"/>
    <row r="52" s="14" customFormat="1" ht="52.9" customHeight="1" x14ac:dyDescent="0.25"/>
    <row r="53" s="14" customFormat="1" ht="21.2" customHeight="1" x14ac:dyDescent="0.25"/>
    <row r="54" s="14" customFormat="1" ht="52.9" customHeight="1" x14ac:dyDescent="0.25"/>
    <row r="55" s="14" customFormat="1" ht="52.9" customHeight="1" x14ac:dyDescent="0.25"/>
    <row r="56" s="14" customFormat="1" ht="21.2" customHeight="1" x14ac:dyDescent="0.25"/>
    <row r="57" s="14" customFormat="1" ht="21.2" customHeight="1" x14ac:dyDescent="0.25"/>
    <row r="58" s="14" customFormat="1" ht="31.7" customHeight="1" x14ac:dyDescent="0.25"/>
    <row r="59" s="14" customFormat="1" ht="31.7" customHeight="1" x14ac:dyDescent="0.25"/>
    <row r="60" s="14" customFormat="1" ht="42.4" customHeight="1" x14ac:dyDescent="0.25"/>
    <row r="61" s="14" customFormat="1" ht="21.2" customHeight="1" x14ac:dyDescent="0.25"/>
    <row r="62" s="14" customFormat="1" ht="31.7" customHeight="1" x14ac:dyDescent="0.25"/>
    <row r="63" s="14" customFormat="1" ht="31.7" customHeight="1" x14ac:dyDescent="0.25"/>
    <row r="64" s="14" customFormat="1" ht="31.7" customHeight="1" x14ac:dyDescent="0.25"/>
    <row r="65" s="14" customFormat="1" ht="21.2" customHeight="1" x14ac:dyDescent="0.25"/>
    <row r="66" s="14" customFormat="1" ht="42.4" customHeight="1" x14ac:dyDescent="0.25"/>
    <row r="67" s="14" customFormat="1" ht="52.9" customHeight="1" x14ac:dyDescent="0.25"/>
    <row r="68" s="14" customFormat="1" ht="21.2" customHeight="1" x14ac:dyDescent="0.25"/>
    <row r="69" s="14" customFormat="1" ht="21.2" customHeight="1" x14ac:dyDescent="0.25"/>
    <row r="70" s="14" customFormat="1" ht="21.2" customHeight="1" x14ac:dyDescent="0.25"/>
    <row r="71" s="14" customFormat="1" ht="31.7" customHeight="1" x14ac:dyDescent="0.25"/>
    <row r="72" s="14" customFormat="1" ht="21.2" customHeight="1" x14ac:dyDescent="0.25"/>
    <row r="73" s="14" customFormat="1" ht="21.2" customHeight="1" x14ac:dyDescent="0.25"/>
    <row r="74" s="14" customFormat="1" ht="52.9" customHeight="1" x14ac:dyDescent="0.25"/>
    <row r="75" s="14" customFormat="1" ht="21.2" customHeight="1" x14ac:dyDescent="0.25"/>
    <row r="76" s="14" customFormat="1" ht="21.2" customHeight="1" x14ac:dyDescent="0.25"/>
    <row r="82" s="14" customFormat="1" ht="21.2" customHeight="1" x14ac:dyDescent="0.25"/>
    <row r="83" s="14" customFormat="1" ht="21.2" customHeight="1" x14ac:dyDescent="0.25"/>
    <row r="84" s="14" customFormat="1" ht="31.7" customHeight="1" x14ac:dyDescent="0.25"/>
    <row r="85" s="14" customFormat="1" ht="21.2" customHeight="1" x14ac:dyDescent="0.25"/>
    <row r="86" s="14" customFormat="1" ht="21.2" customHeight="1" x14ac:dyDescent="0.25"/>
    <row r="87" s="14" customFormat="1" ht="21.2" customHeight="1" x14ac:dyDescent="0.25"/>
    <row r="88" s="14" customFormat="1" ht="21.2" customHeight="1" x14ac:dyDescent="0.25"/>
    <row r="89" s="14" customFormat="1" ht="21.2" customHeight="1" x14ac:dyDescent="0.25"/>
    <row r="90" s="14" customFormat="1" ht="21.2" customHeight="1" x14ac:dyDescent="0.25"/>
    <row r="91" s="14" customFormat="1" ht="21.2" customHeight="1" x14ac:dyDescent="0.25"/>
    <row r="92" s="14" customFormat="1" ht="21.2" customHeight="1" x14ac:dyDescent="0.25"/>
    <row r="93" s="14" customFormat="1" ht="21.2" customHeight="1" x14ac:dyDescent="0.25"/>
    <row r="94" s="14" customFormat="1" ht="31.7" customHeight="1" x14ac:dyDescent="0.25"/>
    <row r="95" s="14" customFormat="1" ht="21.2" customHeight="1" x14ac:dyDescent="0.25"/>
    <row r="96" s="14" customFormat="1" ht="21.2" customHeight="1" x14ac:dyDescent="0.25"/>
    <row r="97" s="14" customFormat="1" ht="21.2" customHeight="1" x14ac:dyDescent="0.25"/>
    <row r="98" s="14" customFormat="1" ht="21.2" customHeight="1" x14ac:dyDescent="0.25"/>
    <row r="99" s="14" customFormat="1" ht="21.2" customHeight="1" x14ac:dyDescent="0.25"/>
    <row r="100" s="14" customFormat="1" ht="21.2" customHeight="1" x14ac:dyDescent="0.25"/>
    <row r="101" s="14" customFormat="1" ht="21.2" customHeight="1" x14ac:dyDescent="0.25"/>
    <row r="102" s="14" customFormat="1" ht="21.2" customHeight="1" x14ac:dyDescent="0.25"/>
    <row r="103" s="14" customFormat="1" ht="21.2" customHeight="1" x14ac:dyDescent="0.25"/>
    <row r="104" s="14" customFormat="1" ht="31.7" customHeight="1" x14ac:dyDescent="0.25"/>
    <row r="105" s="14" customFormat="1" ht="21.2" customHeight="1" x14ac:dyDescent="0.25"/>
    <row r="106" s="14" customFormat="1" ht="21.2" customHeight="1" x14ac:dyDescent="0.25"/>
    <row r="107" s="14" customFormat="1" ht="21.2" customHeight="1" x14ac:dyDescent="0.25"/>
    <row r="108" s="14" customFormat="1" ht="21.2" customHeight="1" x14ac:dyDescent="0.25"/>
    <row r="109" s="14" customFormat="1" ht="21.2" customHeight="1" x14ac:dyDescent="0.25"/>
    <row r="110" s="14" customFormat="1" ht="21.2" customHeight="1" x14ac:dyDescent="0.25"/>
    <row r="111" s="14" customFormat="1" ht="21.2" customHeight="1" x14ac:dyDescent="0.25"/>
    <row r="112" s="14" customFormat="1" ht="21.2" customHeight="1" x14ac:dyDescent="0.25"/>
    <row r="113" s="14" customFormat="1" ht="21.2" customHeight="1" x14ac:dyDescent="0.25"/>
    <row r="114" s="14" customFormat="1" ht="21.2" customHeight="1" x14ac:dyDescent="0.25"/>
    <row r="115" s="14" customFormat="1" ht="21.2" customHeight="1" x14ac:dyDescent="0.25"/>
    <row r="116" s="14" customFormat="1" ht="21.2" customHeight="1" x14ac:dyDescent="0.25"/>
    <row r="117" s="14" customFormat="1" ht="21.2" customHeight="1" x14ac:dyDescent="0.25"/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2"/>
  <sheetViews>
    <sheetView zoomScaleNormal="60" zoomScaleSheetLayoutView="100" workbookViewId="0"/>
  </sheetViews>
  <sheetFormatPr defaultRowHeight="16.5" x14ac:dyDescent="0.25"/>
  <cols>
    <col min="1" max="1" width="13.61328125" style="14" customWidth="1"/>
    <col min="2" max="2" width="57.93359375" style="14" customWidth="1"/>
    <col min="3" max="3" width="20.421875" style="14" customWidth="1"/>
    <col min="4" max="4" width="12.25390625" customWidth="1"/>
    <col min="5" max="6" width="6.3125" style="14" customWidth="1"/>
    <col min="7" max="7" width="5.3203125" style="14" customWidth="1"/>
    <col min="8" max="9" width="6.3125" style="14" customWidth="1"/>
    <col min="10" max="10" width="6.1875" style="14" customWidth="1"/>
    <col min="11" max="11" width="7.30078125" style="14" customWidth="1"/>
  </cols>
  <sheetData>
    <row r="1" spans="1:12" x14ac:dyDescent="0.25">
      <c r="A1" s="150" t="s">
        <v>12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spans="1:12" x14ac:dyDescent="0.3">
      <c r="A2" s="75" t="s">
        <v>13</v>
      </c>
      <c r="B2" s="75" t="s">
        <v>14</v>
      </c>
      <c r="C2" s="75" t="s">
        <v>15</v>
      </c>
      <c r="D2" s="75" t="s">
        <v>16</v>
      </c>
      <c r="E2" s="76" t="s">
        <v>2</v>
      </c>
      <c r="F2" s="77" t="s">
        <v>3</v>
      </c>
      <c r="G2" s="78" t="s">
        <v>4</v>
      </c>
      <c r="H2" s="79" t="s">
        <v>5</v>
      </c>
      <c r="I2" s="80" t="s">
        <v>6</v>
      </c>
      <c r="J2" s="81" t="s">
        <v>7</v>
      </c>
      <c r="K2" s="75" t="s">
        <v>17</v>
      </c>
      <c r="L2" s="75" t="s">
        <v>18</v>
      </c>
    </row>
    <row r="3" spans="1:12" x14ac:dyDescent="0.3">
      <c r="A3" s="43" t="s">
        <v>19</v>
      </c>
      <c r="B3" s="43" t="s">
        <v>20</v>
      </c>
      <c r="C3" s="43" t="s">
        <v>21</v>
      </c>
      <c r="D3" s="43"/>
      <c r="E3" s="43">
        <v>1</v>
      </c>
      <c r="F3" s="43">
        <v>1</v>
      </c>
      <c r="G3" s="43">
        <v>0</v>
      </c>
      <c r="H3" s="43">
        <v>0</v>
      </c>
      <c r="I3" s="43">
        <v>0</v>
      </c>
      <c r="J3" s="43">
        <v>0</v>
      </c>
      <c r="K3" s="82">
        <v>2</v>
      </c>
      <c r="L3" s="83"/>
    </row>
    <row r="4" spans="1:12" x14ac:dyDescent="0.3">
      <c r="A4" s="43" t="s">
        <v>19</v>
      </c>
      <c r="B4" s="43" t="s">
        <v>22</v>
      </c>
      <c r="C4" s="43" t="s">
        <v>23</v>
      </c>
      <c r="D4" s="43"/>
      <c r="E4" s="43">
        <v>1</v>
      </c>
      <c r="F4" s="43">
        <v>1</v>
      </c>
      <c r="G4" s="43">
        <v>0</v>
      </c>
      <c r="H4" s="43">
        <v>0</v>
      </c>
      <c r="I4" s="43">
        <v>1</v>
      </c>
      <c r="J4" s="43">
        <v>0</v>
      </c>
      <c r="K4" s="82">
        <v>3</v>
      </c>
      <c r="L4" s="83"/>
    </row>
    <row r="5" spans="1:12" s="14" customFormat="1" ht="17.25" x14ac:dyDescent="0.3">
      <c r="A5" s="43" t="s">
        <v>19</v>
      </c>
      <c r="B5" s="43" t="s">
        <v>24</v>
      </c>
      <c r="C5" s="43" t="s">
        <v>23</v>
      </c>
      <c r="D5" s="43"/>
      <c r="E5" s="43">
        <v>1</v>
      </c>
      <c r="F5" s="43">
        <v>1</v>
      </c>
      <c r="G5" s="43">
        <v>0</v>
      </c>
      <c r="H5" s="43">
        <v>0</v>
      </c>
      <c r="I5" s="43">
        <v>1</v>
      </c>
      <c r="J5" s="43">
        <v>0</v>
      </c>
      <c r="K5" s="82">
        <v>3</v>
      </c>
      <c r="L5" s="38"/>
    </row>
    <row r="6" spans="1:12" s="14" customFormat="1" ht="17.25" x14ac:dyDescent="0.3">
      <c r="A6" s="117" t="s">
        <v>25</v>
      </c>
      <c r="B6" s="119"/>
      <c r="C6" s="119"/>
      <c r="D6" s="119"/>
      <c r="E6" s="118">
        <f t="shared" ref="E6:K6" si="0">SUM(E3:E5)</f>
        <v>3</v>
      </c>
      <c r="F6" s="118">
        <f t="shared" si="0"/>
        <v>3</v>
      </c>
      <c r="G6" s="118">
        <f t="shared" si="0"/>
        <v>0</v>
      </c>
      <c r="H6" s="118">
        <f t="shared" si="0"/>
        <v>0</v>
      </c>
      <c r="I6" s="118">
        <f t="shared" si="0"/>
        <v>2</v>
      </c>
      <c r="J6" s="118">
        <f t="shared" si="0"/>
        <v>0</v>
      </c>
      <c r="K6" s="118">
        <f t="shared" si="0"/>
        <v>8</v>
      </c>
      <c r="L6" s="119"/>
    </row>
    <row r="7" spans="1:12" s="14" customFormat="1" ht="17.25" x14ac:dyDescent="0.3">
      <c r="A7" s="120" t="s">
        <v>26</v>
      </c>
      <c r="B7" s="121"/>
      <c r="C7" s="121"/>
      <c r="D7" s="121"/>
      <c r="E7" s="122">
        <f>IF($K$6=0,0,E6/$K$6)</f>
        <v>0.375</v>
      </c>
      <c r="F7" s="122">
        <f>IF($K$6=0,0,F6/$K$6)</f>
        <v>0.375</v>
      </c>
      <c r="G7" s="122">
        <f>IF($K$6=0,0,G6/$K$6)</f>
        <v>0</v>
      </c>
      <c r="H7" s="122">
        <f>IF($K$6=0,0,H6/$K$6)</f>
        <v>0</v>
      </c>
      <c r="I7" s="122">
        <f>IF($K$6=0,0,I6/$K$6)</f>
        <v>0.25</v>
      </c>
      <c r="J7" s="122">
        <f>IF($K$6=0,0,J6/$K$6)</f>
        <v>0</v>
      </c>
      <c r="K7" s="123">
        <f>IF($K$6=0,0,K6/$K$6)</f>
        <v>1</v>
      </c>
      <c r="L7" s="121"/>
    </row>
    <row r="8" spans="1:12" x14ac:dyDescent="0.3">
      <c r="A8" s="43" t="s">
        <v>27</v>
      </c>
      <c r="B8" s="43" t="s">
        <v>28</v>
      </c>
      <c r="C8" s="43" t="s">
        <v>29</v>
      </c>
      <c r="D8" s="43"/>
      <c r="E8" s="43">
        <v>2</v>
      </c>
      <c r="F8" s="43">
        <v>4</v>
      </c>
      <c r="G8" s="43">
        <v>0</v>
      </c>
      <c r="H8" s="43">
        <v>0</v>
      </c>
      <c r="I8" s="43">
        <v>2</v>
      </c>
      <c r="J8" s="43">
        <v>0</v>
      </c>
      <c r="K8" s="82">
        <v>8</v>
      </c>
      <c r="L8" s="83"/>
    </row>
    <row r="9" spans="1:12" x14ac:dyDescent="0.3">
      <c r="A9" s="43" t="s">
        <v>27</v>
      </c>
      <c r="B9" s="43" t="s">
        <v>30</v>
      </c>
      <c r="C9" s="43" t="s">
        <v>31</v>
      </c>
      <c r="D9" s="43"/>
      <c r="E9" s="43">
        <v>2</v>
      </c>
      <c r="F9" s="43">
        <v>2</v>
      </c>
      <c r="G9" s="43">
        <v>1</v>
      </c>
      <c r="H9" s="43">
        <v>1</v>
      </c>
      <c r="I9" s="43">
        <v>0</v>
      </c>
      <c r="J9" s="43">
        <v>0</v>
      </c>
      <c r="K9" s="82">
        <v>6</v>
      </c>
      <c r="L9" s="83"/>
    </row>
    <row r="10" spans="1:12" s="14" customFormat="1" ht="17.25" x14ac:dyDescent="0.3">
      <c r="A10" s="43" t="s">
        <v>27</v>
      </c>
      <c r="B10" s="43" t="s">
        <v>32</v>
      </c>
      <c r="C10" s="43" t="s">
        <v>33</v>
      </c>
      <c r="D10" s="43"/>
      <c r="E10" s="43">
        <v>1</v>
      </c>
      <c r="F10" s="43">
        <v>2</v>
      </c>
      <c r="G10" s="43">
        <v>0</v>
      </c>
      <c r="H10" s="43">
        <v>1</v>
      </c>
      <c r="I10" s="43">
        <v>1</v>
      </c>
      <c r="J10" s="43">
        <v>0</v>
      </c>
      <c r="K10" s="82">
        <v>5</v>
      </c>
      <c r="L10" s="83"/>
    </row>
    <row r="11" spans="1:12" x14ac:dyDescent="0.3">
      <c r="A11" s="43" t="s">
        <v>27</v>
      </c>
      <c r="B11" s="43" t="s">
        <v>34</v>
      </c>
      <c r="C11" s="43" t="s">
        <v>35</v>
      </c>
      <c r="D11" s="43"/>
      <c r="E11" s="43">
        <v>1</v>
      </c>
      <c r="F11" s="43">
        <v>1</v>
      </c>
      <c r="G11" s="43">
        <v>0</v>
      </c>
      <c r="H11" s="43">
        <v>0</v>
      </c>
      <c r="I11" s="43">
        <v>1</v>
      </c>
      <c r="J11" s="43">
        <v>0</v>
      </c>
      <c r="K11" s="82">
        <v>3</v>
      </c>
      <c r="L11" s="83"/>
    </row>
    <row r="12" spans="1:12" x14ac:dyDescent="0.3">
      <c r="A12" s="43" t="s">
        <v>27</v>
      </c>
      <c r="B12" s="43" t="s">
        <v>36</v>
      </c>
      <c r="C12" s="43" t="s">
        <v>37</v>
      </c>
      <c r="D12" s="43"/>
      <c r="E12" s="43">
        <v>2</v>
      </c>
      <c r="F12" s="43">
        <v>3</v>
      </c>
      <c r="G12" s="43">
        <v>0</v>
      </c>
      <c r="H12" s="43">
        <v>0</v>
      </c>
      <c r="I12" s="43">
        <v>1</v>
      </c>
      <c r="J12" s="43">
        <v>0</v>
      </c>
      <c r="K12" s="82">
        <v>6</v>
      </c>
      <c r="L12" s="83"/>
    </row>
    <row r="13" spans="1:12" x14ac:dyDescent="0.3">
      <c r="A13" s="43" t="s">
        <v>27</v>
      </c>
      <c r="B13" s="43" t="s">
        <v>38</v>
      </c>
      <c r="C13" s="43" t="s">
        <v>39</v>
      </c>
      <c r="D13" s="43"/>
      <c r="E13" s="43">
        <v>1</v>
      </c>
      <c r="F13" s="43">
        <v>2</v>
      </c>
      <c r="G13" s="43">
        <v>0</v>
      </c>
      <c r="H13" s="43">
        <v>1</v>
      </c>
      <c r="I13" s="43">
        <v>0</v>
      </c>
      <c r="J13" s="43">
        <v>0</v>
      </c>
      <c r="K13" s="82">
        <v>4</v>
      </c>
      <c r="L13" s="83"/>
    </row>
    <row r="14" spans="1:12" x14ac:dyDescent="0.3">
      <c r="A14" s="43" t="s">
        <v>27</v>
      </c>
      <c r="B14" s="43" t="s">
        <v>40</v>
      </c>
      <c r="C14" s="43" t="s">
        <v>41</v>
      </c>
      <c r="D14" s="43"/>
      <c r="E14" s="43">
        <v>1</v>
      </c>
      <c r="F14" s="43">
        <v>2</v>
      </c>
      <c r="G14" s="43">
        <v>0</v>
      </c>
      <c r="H14" s="43">
        <v>0</v>
      </c>
      <c r="I14" s="43">
        <v>1</v>
      </c>
      <c r="J14" s="43">
        <v>0</v>
      </c>
      <c r="K14" s="82">
        <v>4</v>
      </c>
      <c r="L14" s="83"/>
    </row>
    <row r="15" spans="1:12" x14ac:dyDescent="0.3">
      <c r="A15" s="43" t="s">
        <v>27</v>
      </c>
      <c r="B15" s="43" t="s">
        <v>42</v>
      </c>
      <c r="C15" s="43" t="s">
        <v>43</v>
      </c>
      <c r="D15" s="43"/>
      <c r="E15" s="43">
        <v>2</v>
      </c>
      <c r="F15" s="43">
        <v>3</v>
      </c>
      <c r="G15" s="43">
        <v>1</v>
      </c>
      <c r="H15" s="43">
        <v>0</v>
      </c>
      <c r="I15" s="43">
        <v>1</v>
      </c>
      <c r="J15" s="43">
        <v>0</v>
      </c>
      <c r="K15" s="82">
        <v>7</v>
      </c>
      <c r="L15" s="83"/>
    </row>
    <row r="16" spans="1:12" x14ac:dyDescent="0.3">
      <c r="A16" s="43" t="s">
        <v>27</v>
      </c>
      <c r="B16" s="43" t="s">
        <v>44</v>
      </c>
      <c r="C16" s="43" t="s">
        <v>45</v>
      </c>
      <c r="D16" s="43"/>
      <c r="E16" s="43">
        <v>1</v>
      </c>
      <c r="F16" s="43">
        <v>2</v>
      </c>
      <c r="G16" s="43">
        <v>0</v>
      </c>
      <c r="H16" s="43">
        <v>0</v>
      </c>
      <c r="I16" s="43">
        <v>1</v>
      </c>
      <c r="J16" s="43">
        <v>0</v>
      </c>
      <c r="K16" s="82">
        <v>4</v>
      </c>
      <c r="L16" s="83"/>
    </row>
    <row r="17" spans="1:12" x14ac:dyDescent="0.3">
      <c r="A17" s="43" t="s">
        <v>27</v>
      </c>
      <c r="B17" s="43" t="s">
        <v>46</v>
      </c>
      <c r="C17" s="43" t="s">
        <v>47</v>
      </c>
      <c r="D17" s="43"/>
      <c r="E17" s="43">
        <v>0</v>
      </c>
      <c r="F17" s="43">
        <v>1</v>
      </c>
      <c r="G17" s="43">
        <v>0</v>
      </c>
      <c r="H17" s="43">
        <v>0</v>
      </c>
      <c r="I17" s="43">
        <v>1</v>
      </c>
      <c r="J17" s="43">
        <v>0</v>
      </c>
      <c r="K17" s="82">
        <v>2</v>
      </c>
      <c r="L17" s="83"/>
    </row>
    <row r="18" spans="1:12" x14ac:dyDescent="0.3">
      <c r="A18" s="43" t="s">
        <v>27</v>
      </c>
      <c r="B18" s="43" t="s">
        <v>48</v>
      </c>
      <c r="C18" s="43" t="s">
        <v>49</v>
      </c>
      <c r="D18" s="43"/>
      <c r="E18" s="43">
        <v>0</v>
      </c>
      <c r="F18" s="43">
        <v>2</v>
      </c>
      <c r="G18" s="43">
        <v>0</v>
      </c>
      <c r="H18" s="43">
        <v>1</v>
      </c>
      <c r="I18" s="43">
        <v>1</v>
      </c>
      <c r="J18" s="43">
        <v>0</v>
      </c>
      <c r="K18" s="82">
        <v>4</v>
      </c>
      <c r="L18" s="83"/>
    </row>
    <row r="19" spans="1:12" x14ac:dyDescent="0.3">
      <c r="A19" s="43" t="s">
        <v>27</v>
      </c>
      <c r="B19" s="86" t="s">
        <v>50</v>
      </c>
      <c r="C19" s="43" t="s">
        <v>51</v>
      </c>
      <c r="D19" s="43"/>
      <c r="E19" s="43">
        <v>1</v>
      </c>
      <c r="F19" s="43">
        <v>2</v>
      </c>
      <c r="G19" s="43">
        <v>0</v>
      </c>
      <c r="H19" s="43">
        <v>0</v>
      </c>
      <c r="I19" s="43">
        <v>1</v>
      </c>
      <c r="J19" s="43">
        <v>0</v>
      </c>
      <c r="K19" s="82">
        <v>4</v>
      </c>
      <c r="L19" s="83"/>
    </row>
    <row r="20" spans="1:12" x14ac:dyDescent="0.3">
      <c r="A20" s="43" t="s">
        <v>27</v>
      </c>
      <c r="B20" s="43" t="s">
        <v>52</v>
      </c>
      <c r="C20" s="43" t="s">
        <v>53</v>
      </c>
      <c r="D20" s="43"/>
      <c r="E20" s="43">
        <v>1</v>
      </c>
      <c r="F20" s="43">
        <v>2</v>
      </c>
      <c r="G20" s="43">
        <v>0</v>
      </c>
      <c r="H20" s="43">
        <v>0</v>
      </c>
      <c r="I20" s="43">
        <v>0</v>
      </c>
      <c r="J20" s="43">
        <v>0</v>
      </c>
      <c r="K20" s="82">
        <v>3</v>
      </c>
      <c r="L20" s="38"/>
    </row>
    <row r="21" spans="1:12" s="14" customFormat="1" ht="17.25" x14ac:dyDescent="0.3">
      <c r="A21" s="43" t="s">
        <v>27</v>
      </c>
      <c r="B21" s="43" t="s">
        <v>54</v>
      </c>
      <c r="C21" s="43" t="s">
        <v>33</v>
      </c>
      <c r="D21" s="43"/>
      <c r="E21" s="43">
        <v>2</v>
      </c>
      <c r="F21" s="43">
        <v>3</v>
      </c>
      <c r="G21" s="43">
        <v>0</v>
      </c>
      <c r="H21" s="43">
        <v>0</v>
      </c>
      <c r="I21" s="43">
        <v>0</v>
      </c>
      <c r="J21" s="43">
        <v>1</v>
      </c>
      <c r="K21" s="82">
        <v>6</v>
      </c>
      <c r="L21" s="38"/>
    </row>
    <row r="22" spans="1:12" s="14" customFormat="1" ht="17.25" x14ac:dyDescent="0.3">
      <c r="A22" s="84" t="s">
        <v>27</v>
      </c>
      <c r="B22" s="85" t="s">
        <v>227</v>
      </c>
      <c r="C22" s="85" t="s">
        <v>228</v>
      </c>
      <c r="D22" s="85"/>
      <c r="E22" s="84">
        <v>1</v>
      </c>
      <c r="F22" s="84">
        <v>2</v>
      </c>
      <c r="G22" s="84">
        <v>0</v>
      </c>
      <c r="H22" s="84">
        <v>0</v>
      </c>
      <c r="I22" s="84">
        <v>1</v>
      </c>
      <c r="J22" s="84">
        <v>0</v>
      </c>
      <c r="K22" s="84">
        <f>SUM(E22:J22)</f>
        <v>4</v>
      </c>
      <c r="L22" s="85"/>
    </row>
    <row r="23" spans="1:12" s="14" customFormat="1" ht="17.25" x14ac:dyDescent="0.3">
      <c r="A23" s="103" t="s">
        <v>27</v>
      </c>
      <c r="B23" s="104" t="s">
        <v>229</v>
      </c>
      <c r="C23" s="104" t="s">
        <v>63</v>
      </c>
      <c r="D23" s="104"/>
      <c r="E23" s="105">
        <v>1</v>
      </c>
      <c r="F23" s="105">
        <v>2</v>
      </c>
      <c r="G23" s="105">
        <v>0</v>
      </c>
      <c r="H23" s="105">
        <v>0</v>
      </c>
      <c r="I23" s="105">
        <v>0</v>
      </c>
      <c r="J23" s="105">
        <v>0</v>
      </c>
      <c r="K23" s="106">
        <f>SUM(E23:J23)</f>
        <v>3</v>
      </c>
      <c r="L23" s="104"/>
    </row>
    <row r="24" spans="1:12" s="14" customFormat="1" ht="17.25" x14ac:dyDescent="0.3">
      <c r="A24" s="117" t="s">
        <v>230</v>
      </c>
      <c r="B24" s="117"/>
      <c r="C24" s="117"/>
      <c r="D24" s="117"/>
      <c r="E24" s="118">
        <f>SUM(E8:E23)</f>
        <v>19</v>
      </c>
      <c r="F24" s="118">
        <f>SUM(F8:F23)</f>
        <v>35</v>
      </c>
      <c r="G24" s="118">
        <f>SUM(G8:G23)</f>
        <v>2</v>
      </c>
      <c r="H24" s="118">
        <f>SUM(H8:H23)</f>
        <v>4</v>
      </c>
      <c r="I24" s="118">
        <f>SUM(I8:I23)</f>
        <v>12</v>
      </c>
      <c r="J24" s="118">
        <f>SUM(J8:J23)</f>
        <v>1</v>
      </c>
      <c r="K24" s="125">
        <f>SUM(K8:K23)</f>
        <v>73</v>
      </c>
      <c r="L24" s="124"/>
    </row>
    <row r="25" spans="1:12" x14ac:dyDescent="0.3">
      <c r="A25" s="120" t="s">
        <v>26</v>
      </c>
      <c r="B25" s="120"/>
      <c r="C25" s="120"/>
      <c r="D25" s="120"/>
      <c r="E25" s="127">
        <f>IF($K$24=0,0,E24/$K$24)</f>
        <v>0.26027397260273971</v>
      </c>
      <c r="F25" s="127">
        <f>IF($K$24=0,0,F24/$K$24)</f>
        <v>0.47945205479452052</v>
      </c>
      <c r="G25" s="127">
        <f>IF($K$24=0,0,G24/$K$24)</f>
        <v>2.7397260273972601E-2</v>
      </c>
      <c r="H25" s="127">
        <f>IF($K$24=0,0,H24/$K$24)</f>
        <v>5.4794520547945202E-2</v>
      </c>
      <c r="I25" s="127">
        <f>IF($K$24=0,0,I24/$K$24)</f>
        <v>0.16438356164383561</v>
      </c>
      <c r="J25" s="127">
        <f>IF($K$24=0,0,J24/$K$24)</f>
        <v>1.3698630136986301E-2</v>
      </c>
      <c r="K25" s="128">
        <f>IF($K$24=0,0,K24/$K$24)</f>
        <v>1</v>
      </c>
      <c r="L25" s="126"/>
    </row>
    <row r="26" spans="1:12" x14ac:dyDescent="0.25">
      <c r="A26" s="38" t="s">
        <v>231</v>
      </c>
      <c r="B26" s="38" t="s">
        <v>232</v>
      </c>
      <c r="C26" s="38" t="s">
        <v>69</v>
      </c>
      <c r="D26" s="38"/>
      <c r="E26" s="38">
        <v>1</v>
      </c>
      <c r="F26" s="38">
        <v>1</v>
      </c>
      <c r="G26" s="38">
        <v>0</v>
      </c>
      <c r="H26" s="38">
        <v>0</v>
      </c>
      <c r="I26" s="38">
        <v>1</v>
      </c>
      <c r="J26" s="38">
        <v>0</v>
      </c>
      <c r="K26" s="38">
        <v>3</v>
      </c>
      <c r="L26" s="38"/>
    </row>
    <row r="27" spans="1:12" s="14" customFormat="1" x14ac:dyDescent="0.25">
      <c r="A27" s="87" t="s">
        <v>231</v>
      </c>
      <c r="B27" s="87" t="s">
        <v>209</v>
      </c>
      <c r="C27" s="87" t="s">
        <v>76</v>
      </c>
      <c r="D27" s="87"/>
      <c r="E27" s="87">
        <v>1</v>
      </c>
      <c r="F27" s="87">
        <v>1</v>
      </c>
      <c r="G27" s="87">
        <v>0</v>
      </c>
      <c r="H27" s="87">
        <v>0</v>
      </c>
      <c r="I27" s="87">
        <v>1</v>
      </c>
      <c r="J27" s="87">
        <v>2</v>
      </c>
      <c r="K27" s="87">
        <v>5</v>
      </c>
      <c r="L27" s="87"/>
    </row>
    <row r="28" spans="1:12" s="14" customFormat="1" ht="17.25" x14ac:dyDescent="0.3">
      <c r="A28" s="84" t="s">
        <v>231</v>
      </c>
      <c r="B28" s="85" t="s">
        <v>226</v>
      </c>
      <c r="C28" s="85" t="s">
        <v>79</v>
      </c>
      <c r="D28" s="85"/>
      <c r="E28" s="84">
        <v>1</v>
      </c>
      <c r="F28" s="84">
        <v>1</v>
      </c>
      <c r="G28" s="84">
        <v>0</v>
      </c>
      <c r="H28" s="84">
        <v>0</v>
      </c>
      <c r="I28" s="84">
        <v>0</v>
      </c>
      <c r="J28" s="84">
        <v>2</v>
      </c>
      <c r="K28" s="84">
        <v>4</v>
      </c>
      <c r="L28" s="85"/>
    </row>
    <row r="29" spans="1:12" s="14" customFormat="1" ht="17.25" x14ac:dyDescent="0.3">
      <c r="A29" s="103" t="s">
        <v>231</v>
      </c>
      <c r="B29" s="104" t="s">
        <v>215</v>
      </c>
      <c r="C29" s="104" t="s">
        <v>75</v>
      </c>
      <c r="D29" s="104"/>
      <c r="E29" s="114">
        <v>1</v>
      </c>
      <c r="F29" s="105">
        <v>0</v>
      </c>
      <c r="G29" s="105">
        <v>0</v>
      </c>
      <c r="H29" s="105">
        <v>0</v>
      </c>
      <c r="I29" s="105">
        <v>0</v>
      </c>
      <c r="J29" s="105">
        <v>0</v>
      </c>
      <c r="K29" s="106">
        <f>SUM(E29:J29)</f>
        <v>1</v>
      </c>
      <c r="L29" s="104"/>
    </row>
    <row r="30" spans="1:12" x14ac:dyDescent="0.3">
      <c r="A30" s="129" t="s">
        <v>233</v>
      </c>
      <c r="B30" s="129"/>
      <c r="C30" s="129"/>
      <c r="D30" s="130"/>
      <c r="E30" s="131">
        <f>SUM(E26:E29)</f>
        <v>4</v>
      </c>
      <c r="F30" s="131">
        <f>SUM(F26:F29)</f>
        <v>3</v>
      </c>
      <c r="G30" s="131">
        <f>SUM(G26:G29)</f>
        <v>0</v>
      </c>
      <c r="H30" s="131">
        <f>SUM(H26:H29)</f>
        <v>0</v>
      </c>
      <c r="I30" s="131">
        <f>SUM(I26:I29)</f>
        <v>2</v>
      </c>
      <c r="J30" s="131">
        <f>SUM(J26:J29)</f>
        <v>4</v>
      </c>
      <c r="K30" s="125">
        <f>SUM(K26:K29)</f>
        <v>13</v>
      </c>
      <c r="L30" s="129"/>
    </row>
    <row r="31" spans="1:12" x14ac:dyDescent="0.3">
      <c r="A31" s="120" t="s">
        <v>26</v>
      </c>
      <c r="B31" s="120"/>
      <c r="C31" s="120"/>
      <c r="D31" s="120"/>
      <c r="E31" s="127">
        <f>IF($K$30=0,0,E30/$K$30)</f>
        <v>0.30769230769230771</v>
      </c>
      <c r="F31" s="127">
        <f>IF($K$30=0,0,F30/$K$30)</f>
        <v>0.23076923076923078</v>
      </c>
      <c r="G31" s="127">
        <f>IF($K$30=0,0,G30/$K$30)</f>
        <v>0</v>
      </c>
      <c r="H31" s="127">
        <f>IF($K$30=0,0,H30/$K$30)</f>
        <v>0</v>
      </c>
      <c r="I31" s="127">
        <f>IF($K$30=0,0,I30/$K$30)</f>
        <v>0.15384615384615385</v>
      </c>
      <c r="J31" s="127">
        <f>IF($K$30=0,0,J30/$K$30)</f>
        <v>0.30769230769230771</v>
      </c>
      <c r="K31" s="128">
        <f>IF($K$30=0,0,K30/$K$30)</f>
        <v>1</v>
      </c>
      <c r="L31" s="126"/>
    </row>
    <row r="32" spans="1:12" s="14" customFormat="1" x14ac:dyDescent="0.25">
      <c r="A32" s="38" t="s">
        <v>234</v>
      </c>
      <c r="B32" s="38" t="s">
        <v>235</v>
      </c>
      <c r="C32" s="38" t="s">
        <v>228</v>
      </c>
      <c r="D32" s="38" t="s">
        <v>236</v>
      </c>
      <c r="E32" s="38">
        <v>0</v>
      </c>
      <c r="F32" s="38">
        <v>2</v>
      </c>
      <c r="G32" s="38">
        <v>0</v>
      </c>
      <c r="H32" s="38">
        <v>0</v>
      </c>
      <c r="I32" s="38">
        <v>0</v>
      </c>
      <c r="J32" s="38">
        <v>2</v>
      </c>
      <c r="K32" s="38">
        <v>0</v>
      </c>
      <c r="L32" s="38" t="s">
        <v>237</v>
      </c>
    </row>
    <row r="33" spans="1:12" s="14" customFormat="1" x14ac:dyDescent="0.25">
      <c r="A33" s="38" t="s">
        <v>234</v>
      </c>
      <c r="B33" s="38" t="s">
        <v>238</v>
      </c>
      <c r="C33" s="38" t="s">
        <v>41</v>
      </c>
      <c r="D33" s="38"/>
      <c r="E33" s="38">
        <v>1</v>
      </c>
      <c r="F33" s="38">
        <v>1</v>
      </c>
      <c r="G33" s="38">
        <v>0</v>
      </c>
      <c r="H33" s="38">
        <v>0</v>
      </c>
      <c r="I33" s="38">
        <v>0</v>
      </c>
      <c r="J33" s="38">
        <v>0</v>
      </c>
      <c r="K33" s="38">
        <v>2</v>
      </c>
      <c r="L33" s="38"/>
    </row>
    <row r="34" spans="1:12" s="14" customFormat="1" ht="17.25" x14ac:dyDescent="0.3">
      <c r="A34" s="84" t="s">
        <v>234</v>
      </c>
      <c r="B34" s="85" t="s">
        <v>239</v>
      </c>
      <c r="C34" s="85" t="s">
        <v>77</v>
      </c>
      <c r="D34" s="85"/>
      <c r="E34" s="84">
        <v>1</v>
      </c>
      <c r="F34" s="84">
        <v>1</v>
      </c>
      <c r="G34" s="84"/>
      <c r="H34" s="84"/>
      <c r="I34" s="84"/>
      <c r="J34" s="84">
        <v>2</v>
      </c>
      <c r="K34" s="84">
        <v>4</v>
      </c>
      <c r="L34" s="85"/>
    </row>
    <row r="35" spans="1:12" x14ac:dyDescent="0.3">
      <c r="A35" s="103" t="s">
        <v>234</v>
      </c>
      <c r="B35" s="108" t="s">
        <v>224</v>
      </c>
      <c r="C35" s="108" t="s">
        <v>35</v>
      </c>
      <c r="D35" s="108"/>
      <c r="E35" s="107">
        <v>1</v>
      </c>
      <c r="F35" s="107">
        <v>2</v>
      </c>
      <c r="G35" s="107">
        <v>0</v>
      </c>
      <c r="H35" s="107">
        <v>0</v>
      </c>
      <c r="I35" s="107">
        <v>0</v>
      </c>
      <c r="J35" s="107">
        <v>0</v>
      </c>
      <c r="K35" s="107">
        <f>SUM(E35:J35)</f>
        <v>3</v>
      </c>
      <c r="L35" s="108"/>
    </row>
    <row r="36" spans="1:12" x14ac:dyDescent="0.3">
      <c r="A36" s="117" t="s">
        <v>240</v>
      </c>
      <c r="B36" s="117"/>
      <c r="C36" s="117"/>
      <c r="D36" s="117"/>
      <c r="E36" s="118">
        <f>SUM(E33:E35)</f>
        <v>3</v>
      </c>
      <c r="F36" s="118">
        <f>SUM(F33:F35)</f>
        <v>4</v>
      </c>
      <c r="G36" s="118">
        <f>SUM(G33:G35)</f>
        <v>0</v>
      </c>
      <c r="H36" s="118">
        <f>SUM(H33:H35)</f>
        <v>0</v>
      </c>
      <c r="I36" s="118">
        <f>SUM(I33:I35)</f>
        <v>0</v>
      </c>
      <c r="J36" s="118">
        <f>SUM(J33:J35)</f>
        <v>2</v>
      </c>
      <c r="K36" s="125">
        <f>SUM(K33:K35)</f>
        <v>9</v>
      </c>
      <c r="L36" s="124"/>
    </row>
    <row r="37" spans="1:12" x14ac:dyDescent="0.3">
      <c r="A37" s="120" t="s">
        <v>26</v>
      </c>
      <c r="B37" s="120"/>
      <c r="C37" s="120"/>
      <c r="D37" s="120"/>
      <c r="E37" s="127">
        <f>IF($K$36=0,0,E36/$K$36)</f>
        <v>0.33333333333333331</v>
      </c>
      <c r="F37" s="127">
        <f>IF($K$36=0,0,F36/$K$36)</f>
        <v>0.44444444444444442</v>
      </c>
      <c r="G37" s="127">
        <f>IF($K$36=0,0,G36/$K$36)</f>
        <v>0</v>
      </c>
      <c r="H37" s="127">
        <f>IF($K$36=0,0,H36/$K$36)</f>
        <v>0</v>
      </c>
      <c r="I37" s="127">
        <f>IF($K$36=0,0,I36/$K$36)</f>
        <v>0</v>
      </c>
      <c r="J37" s="127">
        <f>IF($K$36=0,0,J36/$K$36)</f>
        <v>0.22222222222222221</v>
      </c>
      <c r="K37" s="128">
        <f>IF($K$36=0,0,K36/$K$36)</f>
        <v>1</v>
      </c>
      <c r="L37" s="126"/>
    </row>
    <row r="38" spans="1:12" x14ac:dyDescent="0.3">
      <c r="A38" s="43" t="s">
        <v>241</v>
      </c>
      <c r="B38" s="43" t="s">
        <v>242</v>
      </c>
      <c r="C38" s="43" t="s">
        <v>71</v>
      </c>
      <c r="D38" s="43"/>
      <c r="E38" s="43">
        <v>1</v>
      </c>
      <c r="F38" s="43">
        <v>1</v>
      </c>
      <c r="G38" s="43">
        <v>0</v>
      </c>
      <c r="H38" s="43">
        <v>0</v>
      </c>
      <c r="I38" s="43">
        <v>0</v>
      </c>
      <c r="J38" s="43">
        <v>0</v>
      </c>
      <c r="K38" s="82">
        <v>2</v>
      </c>
      <c r="L38" s="83"/>
    </row>
    <row r="39" spans="1:12" x14ac:dyDescent="0.3">
      <c r="A39" s="43" t="s">
        <v>241</v>
      </c>
      <c r="B39" s="43" t="s">
        <v>243</v>
      </c>
      <c r="C39" s="43" t="s">
        <v>53</v>
      </c>
      <c r="D39" s="89"/>
      <c r="E39" s="43">
        <v>1</v>
      </c>
      <c r="F39" s="43">
        <v>1</v>
      </c>
      <c r="G39" s="43">
        <v>0</v>
      </c>
      <c r="H39" s="43">
        <v>0</v>
      </c>
      <c r="I39" s="43">
        <v>0</v>
      </c>
      <c r="J39" s="43">
        <v>0</v>
      </c>
      <c r="K39" s="82">
        <v>2</v>
      </c>
      <c r="L39" s="83"/>
    </row>
    <row r="40" spans="1:12" x14ac:dyDescent="0.3">
      <c r="A40" s="43" t="s">
        <v>241</v>
      </c>
      <c r="B40" s="43" t="s">
        <v>244</v>
      </c>
      <c r="C40" s="43" t="s">
        <v>66</v>
      </c>
      <c r="D40" s="43"/>
      <c r="E40" s="43">
        <v>1</v>
      </c>
      <c r="F40" s="43">
        <v>1</v>
      </c>
      <c r="G40" s="43">
        <v>0</v>
      </c>
      <c r="H40" s="43">
        <v>0</v>
      </c>
      <c r="I40" s="43">
        <v>2</v>
      </c>
      <c r="J40" s="43">
        <v>0</v>
      </c>
      <c r="K40" s="82">
        <v>4</v>
      </c>
      <c r="L40" s="83"/>
    </row>
    <row r="41" spans="1:12" x14ac:dyDescent="0.3">
      <c r="A41" s="43" t="s">
        <v>241</v>
      </c>
      <c r="B41" s="43" t="s">
        <v>245</v>
      </c>
      <c r="C41" s="43" t="s">
        <v>70</v>
      </c>
      <c r="D41" s="43"/>
      <c r="E41" s="43">
        <v>0</v>
      </c>
      <c r="F41" s="43">
        <v>2</v>
      </c>
      <c r="G41" s="43">
        <v>0</v>
      </c>
      <c r="H41" s="43">
        <v>0</v>
      </c>
      <c r="I41" s="43">
        <v>1</v>
      </c>
      <c r="J41" s="43">
        <v>0</v>
      </c>
      <c r="K41" s="82">
        <v>3</v>
      </c>
      <c r="L41" s="83"/>
    </row>
    <row r="42" spans="1:12" x14ac:dyDescent="0.3">
      <c r="A42" s="43" t="s">
        <v>241</v>
      </c>
      <c r="B42" s="43" t="s">
        <v>246</v>
      </c>
      <c r="C42" s="43" t="s">
        <v>49</v>
      </c>
      <c r="D42" s="43"/>
      <c r="E42" s="43">
        <v>1</v>
      </c>
      <c r="F42" s="43">
        <v>2</v>
      </c>
      <c r="G42" s="43">
        <v>0</v>
      </c>
      <c r="H42" s="43">
        <v>0</v>
      </c>
      <c r="I42" s="43">
        <v>2</v>
      </c>
      <c r="J42" s="43">
        <v>0</v>
      </c>
      <c r="K42" s="82">
        <v>5</v>
      </c>
      <c r="L42" s="83"/>
    </row>
    <row r="43" spans="1:12" x14ac:dyDescent="0.25">
      <c r="A43" s="38" t="s">
        <v>241</v>
      </c>
      <c r="B43" s="38" t="s">
        <v>188</v>
      </c>
      <c r="C43" s="38" t="s">
        <v>73</v>
      </c>
      <c r="D43" s="38"/>
      <c r="E43" s="38">
        <v>1</v>
      </c>
      <c r="F43" s="38">
        <v>1</v>
      </c>
      <c r="G43" s="38">
        <v>0</v>
      </c>
      <c r="H43" s="38">
        <v>0</v>
      </c>
      <c r="I43" s="38">
        <v>0</v>
      </c>
      <c r="J43" s="38">
        <v>0</v>
      </c>
      <c r="K43" s="38">
        <v>2</v>
      </c>
      <c r="L43" s="38"/>
    </row>
    <row r="44" spans="1:12" s="14" customFormat="1" x14ac:dyDescent="0.25">
      <c r="A44" s="38" t="s">
        <v>241</v>
      </c>
      <c r="B44" s="38" t="s">
        <v>247</v>
      </c>
      <c r="C44" s="38" t="s">
        <v>64</v>
      </c>
      <c r="D44" s="38"/>
      <c r="E44" s="38">
        <v>1</v>
      </c>
      <c r="F44" s="38">
        <v>1</v>
      </c>
      <c r="G44" s="38">
        <v>0</v>
      </c>
      <c r="H44" s="38">
        <v>0</v>
      </c>
      <c r="I44" s="38">
        <v>0</v>
      </c>
      <c r="J44" s="38">
        <v>2</v>
      </c>
      <c r="K44" s="38">
        <v>4</v>
      </c>
      <c r="L44" s="38"/>
    </row>
    <row r="45" spans="1:12" s="14" customFormat="1" ht="17.25" x14ac:dyDescent="0.3">
      <c r="A45" s="84" t="s">
        <v>241</v>
      </c>
      <c r="B45" s="85" t="s">
        <v>222</v>
      </c>
      <c r="C45" s="85" t="s">
        <v>78</v>
      </c>
      <c r="D45" s="85"/>
      <c r="E45" s="84">
        <v>1</v>
      </c>
      <c r="F45" s="84">
        <v>2</v>
      </c>
      <c r="G45" s="84">
        <v>1</v>
      </c>
      <c r="H45" s="84">
        <v>0</v>
      </c>
      <c r="I45" s="84">
        <v>0</v>
      </c>
      <c r="J45" s="84">
        <v>0</v>
      </c>
      <c r="K45" s="84">
        <v>4</v>
      </c>
      <c r="L45" s="85"/>
    </row>
    <row r="46" spans="1:12" ht="17.25" x14ac:dyDescent="0.3">
      <c r="A46" s="43" t="s">
        <v>241</v>
      </c>
      <c r="B46" s="38" t="s">
        <v>219</v>
      </c>
      <c r="C46" s="38" t="s">
        <v>80</v>
      </c>
      <c r="D46" s="38"/>
      <c r="E46" s="100">
        <v>1</v>
      </c>
      <c r="F46" s="100">
        <v>2</v>
      </c>
      <c r="G46" s="100">
        <v>0</v>
      </c>
      <c r="H46" s="100">
        <v>0</v>
      </c>
      <c r="I46" s="100">
        <v>1</v>
      </c>
      <c r="J46" s="100">
        <v>0</v>
      </c>
      <c r="K46" s="101">
        <v>4</v>
      </c>
      <c r="L46" s="38"/>
    </row>
    <row r="47" spans="1:12" ht="29.25" x14ac:dyDescent="0.3">
      <c r="A47" s="103" t="s">
        <v>241</v>
      </c>
      <c r="B47" s="103" t="s">
        <v>139</v>
      </c>
      <c r="C47" s="103" t="s">
        <v>137</v>
      </c>
      <c r="D47" s="103"/>
      <c r="E47" s="107">
        <v>1</v>
      </c>
      <c r="F47" s="107">
        <v>1</v>
      </c>
      <c r="G47" s="107">
        <v>0</v>
      </c>
      <c r="H47" s="107">
        <v>1</v>
      </c>
      <c r="I47" s="107">
        <v>0</v>
      </c>
      <c r="J47" s="107">
        <v>0</v>
      </c>
      <c r="K47" s="109">
        <f>SUM(E47:J47)</f>
        <v>3</v>
      </c>
      <c r="L47" s="110" t="s">
        <v>248</v>
      </c>
    </row>
    <row r="48" spans="1:12" s="14" customFormat="1" ht="17.25" x14ac:dyDescent="0.3">
      <c r="A48" s="117" t="s">
        <v>249</v>
      </c>
      <c r="B48" s="117"/>
      <c r="C48" s="117"/>
      <c r="D48" s="130"/>
      <c r="E48" s="118">
        <f>SUM(E38:E47)</f>
        <v>9</v>
      </c>
      <c r="F48" s="118">
        <f>SUM(F38:F47)</f>
        <v>14</v>
      </c>
      <c r="G48" s="118">
        <f>SUM(G38:G47)</f>
        <v>1</v>
      </c>
      <c r="H48" s="118">
        <f>SUM(H38:H47)</f>
        <v>1</v>
      </c>
      <c r="I48" s="118">
        <f>SUM(I38:I47)</f>
        <v>6</v>
      </c>
      <c r="J48" s="118">
        <f>SUM(J38:J47)</f>
        <v>2</v>
      </c>
      <c r="K48" s="125">
        <f>SUM(K38:K47)</f>
        <v>33</v>
      </c>
      <c r="L48" s="124"/>
    </row>
    <row r="49" spans="1:12" x14ac:dyDescent="0.3">
      <c r="A49" s="120" t="s">
        <v>26</v>
      </c>
      <c r="B49" s="120"/>
      <c r="C49" s="120"/>
      <c r="D49" s="132"/>
      <c r="E49" s="127">
        <f>IF($K$48=0,0,E48/$K$48)</f>
        <v>0.27272727272727271</v>
      </c>
      <c r="F49" s="127">
        <f>IF($K$48=0,0,F48/$K$48)</f>
        <v>0.42424242424242425</v>
      </c>
      <c r="G49" s="127">
        <f>IF($K$48=0,0,G48/$K$48)</f>
        <v>3.0303030303030304E-2</v>
      </c>
      <c r="H49" s="127">
        <f>IF($K$48=0,0,H48/$K$48)</f>
        <v>3.0303030303030304E-2</v>
      </c>
      <c r="I49" s="127">
        <f>IF($K$48=0,0,I48/$K$48)</f>
        <v>0.18181818181818182</v>
      </c>
      <c r="J49" s="127">
        <f>IF($K$48=0,0,J48/$K$48)</f>
        <v>6.0606060606060608E-2</v>
      </c>
      <c r="K49" s="128">
        <f>IF($K$48=0,0,K48/$K$48)</f>
        <v>1</v>
      </c>
      <c r="L49" s="126"/>
    </row>
    <row r="50" spans="1:12" x14ac:dyDescent="0.3">
      <c r="A50" s="43" t="s">
        <v>250</v>
      </c>
      <c r="B50" s="43" t="s">
        <v>251</v>
      </c>
      <c r="C50" s="43" t="s">
        <v>62</v>
      </c>
      <c r="D50" s="89"/>
      <c r="E50" s="43">
        <v>2</v>
      </c>
      <c r="F50" s="43">
        <v>3</v>
      </c>
      <c r="G50" s="43">
        <v>1</v>
      </c>
      <c r="H50" s="43">
        <v>0</v>
      </c>
      <c r="I50" s="43">
        <v>1</v>
      </c>
      <c r="J50" s="43">
        <v>0</v>
      </c>
      <c r="K50" s="82">
        <v>7</v>
      </c>
      <c r="L50" s="83"/>
    </row>
    <row r="51" spans="1:12" x14ac:dyDescent="0.3">
      <c r="A51" s="43" t="s">
        <v>250</v>
      </c>
      <c r="B51" s="43" t="s">
        <v>252</v>
      </c>
      <c r="C51" s="43" t="s">
        <v>62</v>
      </c>
      <c r="D51" s="43"/>
      <c r="E51" s="43">
        <v>2</v>
      </c>
      <c r="F51" s="43">
        <v>3</v>
      </c>
      <c r="G51" s="43">
        <v>0</v>
      </c>
      <c r="H51" s="43">
        <v>0</v>
      </c>
      <c r="I51" s="43">
        <v>1</v>
      </c>
      <c r="J51" s="43">
        <v>0</v>
      </c>
      <c r="K51" s="82">
        <v>6</v>
      </c>
      <c r="L51" s="83"/>
    </row>
    <row r="52" spans="1:12" x14ac:dyDescent="0.3">
      <c r="A52" s="43" t="s">
        <v>250</v>
      </c>
      <c r="B52" s="43" t="s">
        <v>252</v>
      </c>
      <c r="C52" s="43" t="s">
        <v>61</v>
      </c>
      <c r="D52" s="43"/>
      <c r="E52" s="43">
        <v>1</v>
      </c>
      <c r="F52" s="43">
        <v>1</v>
      </c>
      <c r="G52" s="43">
        <v>0</v>
      </c>
      <c r="H52" s="43">
        <v>0</v>
      </c>
      <c r="I52" s="43">
        <v>0</v>
      </c>
      <c r="J52" s="43">
        <v>0</v>
      </c>
      <c r="K52" s="82">
        <v>2</v>
      </c>
      <c r="L52" s="83"/>
    </row>
    <row r="53" spans="1:12" x14ac:dyDescent="0.3">
      <c r="A53" s="43" t="s">
        <v>250</v>
      </c>
      <c r="B53" s="43" t="s">
        <v>253</v>
      </c>
      <c r="C53" s="43" t="s">
        <v>49</v>
      </c>
      <c r="D53" s="43"/>
      <c r="E53" s="43">
        <v>1</v>
      </c>
      <c r="F53" s="43">
        <v>1</v>
      </c>
      <c r="G53" s="43">
        <v>0</v>
      </c>
      <c r="H53" s="43">
        <v>0</v>
      </c>
      <c r="I53" s="43">
        <v>0</v>
      </c>
      <c r="J53" s="43">
        <v>0</v>
      </c>
      <c r="K53" s="82">
        <v>2</v>
      </c>
      <c r="L53" s="83"/>
    </row>
    <row r="54" spans="1:12" x14ac:dyDescent="0.3">
      <c r="A54" s="43" t="s">
        <v>250</v>
      </c>
      <c r="B54" s="43" t="s">
        <v>254</v>
      </c>
      <c r="C54" s="43" t="s">
        <v>60</v>
      </c>
      <c r="D54" s="43"/>
      <c r="E54" s="43">
        <v>1</v>
      </c>
      <c r="F54" s="43">
        <v>2</v>
      </c>
      <c r="G54" s="43">
        <v>1</v>
      </c>
      <c r="H54" s="43">
        <v>1</v>
      </c>
      <c r="I54" s="43">
        <v>1</v>
      </c>
      <c r="J54" s="43">
        <v>0</v>
      </c>
      <c r="K54" s="82">
        <v>6</v>
      </c>
      <c r="L54" s="83"/>
    </row>
    <row r="55" spans="1:12" s="14" customFormat="1" ht="17.25" x14ac:dyDescent="0.3">
      <c r="A55" s="43" t="s">
        <v>250</v>
      </c>
      <c r="B55" s="43" t="s">
        <v>255</v>
      </c>
      <c r="C55" s="43" t="s">
        <v>31</v>
      </c>
      <c r="D55" s="43"/>
      <c r="E55" s="43">
        <v>1</v>
      </c>
      <c r="F55" s="43">
        <v>3</v>
      </c>
      <c r="G55" s="43">
        <v>0</v>
      </c>
      <c r="H55" s="43">
        <v>0</v>
      </c>
      <c r="I55" s="43">
        <v>1</v>
      </c>
      <c r="J55" s="43">
        <v>0</v>
      </c>
      <c r="K55" s="82">
        <v>5</v>
      </c>
      <c r="L55" s="38"/>
    </row>
    <row r="56" spans="1:12" s="14" customFormat="1" x14ac:dyDescent="0.25">
      <c r="A56" s="90" t="s">
        <v>250</v>
      </c>
      <c r="B56" s="90" t="s">
        <v>256</v>
      </c>
      <c r="C56" s="90" t="s">
        <v>67</v>
      </c>
      <c r="D56" s="70"/>
      <c r="E56" s="90">
        <v>1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1</v>
      </c>
      <c r="L56" s="70"/>
    </row>
    <row r="57" spans="1:12" s="14" customFormat="1" ht="17.25" x14ac:dyDescent="0.3">
      <c r="A57" s="84" t="s">
        <v>250</v>
      </c>
      <c r="B57" s="85" t="s">
        <v>257</v>
      </c>
      <c r="C57" s="85" t="s">
        <v>60</v>
      </c>
      <c r="D57" s="85"/>
      <c r="E57" s="84">
        <v>1</v>
      </c>
      <c r="F57" s="84">
        <v>2</v>
      </c>
      <c r="G57" s="84">
        <v>0</v>
      </c>
      <c r="H57" s="84">
        <v>0</v>
      </c>
      <c r="I57" s="84">
        <v>1</v>
      </c>
      <c r="J57" s="84">
        <v>0</v>
      </c>
      <c r="K57" s="84">
        <v>4</v>
      </c>
      <c r="L57" s="85"/>
    </row>
    <row r="58" spans="1:12" ht="17.25" x14ac:dyDescent="0.3">
      <c r="A58" s="43" t="s">
        <v>250</v>
      </c>
      <c r="B58" s="38" t="s">
        <v>258</v>
      </c>
      <c r="C58" s="38" t="s">
        <v>29</v>
      </c>
      <c r="D58" s="38"/>
      <c r="E58" s="100">
        <v>1</v>
      </c>
      <c r="F58" s="100">
        <v>2</v>
      </c>
      <c r="G58" s="100">
        <v>0</v>
      </c>
      <c r="H58" s="100">
        <v>0</v>
      </c>
      <c r="I58" s="100">
        <v>1</v>
      </c>
      <c r="J58" s="100">
        <v>0</v>
      </c>
      <c r="K58" s="101">
        <v>4</v>
      </c>
      <c r="L58" s="38"/>
    </row>
    <row r="59" spans="1:12" s="14" customFormat="1" ht="17.25" x14ac:dyDescent="0.3">
      <c r="A59" s="103" t="s">
        <v>250</v>
      </c>
      <c r="B59" s="103" t="s">
        <v>259</v>
      </c>
      <c r="C59" s="103" t="s">
        <v>81</v>
      </c>
      <c r="D59" s="103"/>
      <c r="E59" s="107">
        <v>1</v>
      </c>
      <c r="F59" s="107">
        <v>0</v>
      </c>
      <c r="G59" s="107">
        <v>0</v>
      </c>
      <c r="H59" s="107">
        <v>0</v>
      </c>
      <c r="I59" s="107">
        <v>0</v>
      </c>
      <c r="J59" s="107">
        <v>0</v>
      </c>
      <c r="K59" s="109">
        <f>SUM(E59:J59)</f>
        <v>1</v>
      </c>
      <c r="L59" s="110"/>
    </row>
    <row r="60" spans="1:12" s="14" customFormat="1" ht="17.25" x14ac:dyDescent="0.3">
      <c r="A60" s="117" t="s">
        <v>260</v>
      </c>
      <c r="B60" s="117"/>
      <c r="C60" s="117"/>
      <c r="D60" s="117"/>
      <c r="E60" s="118">
        <f>SUM(E50:E59)</f>
        <v>12</v>
      </c>
      <c r="F60" s="118">
        <f>SUM(F50:F59)</f>
        <v>17</v>
      </c>
      <c r="G60" s="118">
        <f>SUM(G50:G59)</f>
        <v>2</v>
      </c>
      <c r="H60" s="118">
        <f>SUM(H50:H59)</f>
        <v>1</v>
      </c>
      <c r="I60" s="118">
        <f>SUM(I50:I59)</f>
        <v>6</v>
      </c>
      <c r="J60" s="118">
        <f>SUM(J50:J59)</f>
        <v>0</v>
      </c>
      <c r="K60" s="125">
        <f>SUM(K50:K59)</f>
        <v>38</v>
      </c>
      <c r="L60" s="124"/>
    </row>
    <row r="61" spans="1:12" s="14" customFormat="1" ht="17.25" x14ac:dyDescent="0.3">
      <c r="A61" s="120" t="s">
        <v>26</v>
      </c>
      <c r="B61" s="120"/>
      <c r="C61" s="120"/>
      <c r="D61" s="120"/>
      <c r="E61" s="127">
        <f>IF($K$60=0,0,E60/$K$60)</f>
        <v>0.31578947368421051</v>
      </c>
      <c r="F61" s="127">
        <f>IF($K$60=0,0,F60/$K$60)</f>
        <v>0.44736842105263158</v>
      </c>
      <c r="G61" s="127">
        <f>IF($K$60=0,0,G60/$K$60)</f>
        <v>5.2631578947368418E-2</v>
      </c>
      <c r="H61" s="127">
        <f>IF($K$60=0,0,H60/$K$60)</f>
        <v>2.6315789473684209E-2</v>
      </c>
      <c r="I61" s="127">
        <f>IF($K$60=0,0,I60/$K$60)</f>
        <v>0.15789473684210525</v>
      </c>
      <c r="J61" s="127">
        <f>IF($K$60=0,0,J60/$K$60)</f>
        <v>0</v>
      </c>
      <c r="K61" s="128">
        <f>IF($K$60=0,0,K60/$K$60)</f>
        <v>1</v>
      </c>
      <c r="L61" s="126"/>
    </row>
    <row r="62" spans="1:12" x14ac:dyDescent="0.3">
      <c r="A62" s="88" t="s">
        <v>261</v>
      </c>
      <c r="B62" s="88" t="s">
        <v>262</v>
      </c>
      <c r="C62" s="88" t="s">
        <v>64</v>
      </c>
      <c r="D62" s="89"/>
      <c r="E62" s="83">
        <v>1</v>
      </c>
      <c r="F62" s="83">
        <v>2</v>
      </c>
      <c r="G62" s="83">
        <v>0</v>
      </c>
      <c r="H62" s="83">
        <v>0</v>
      </c>
      <c r="I62" s="83">
        <v>1</v>
      </c>
      <c r="J62" s="83">
        <v>0</v>
      </c>
      <c r="K62" s="82">
        <v>4</v>
      </c>
      <c r="L62" s="88"/>
    </row>
    <row r="63" spans="1:12" x14ac:dyDescent="0.3">
      <c r="A63" s="43" t="s">
        <v>261</v>
      </c>
      <c r="B63" s="43" t="s">
        <v>263</v>
      </c>
      <c r="C63" s="43" t="s">
        <v>60</v>
      </c>
      <c r="D63" s="89"/>
      <c r="E63" s="43">
        <v>2</v>
      </c>
      <c r="F63" s="43">
        <v>1</v>
      </c>
      <c r="G63" s="43">
        <v>0</v>
      </c>
      <c r="H63" s="43">
        <v>1</v>
      </c>
      <c r="I63" s="43">
        <v>0</v>
      </c>
      <c r="J63" s="43">
        <v>0</v>
      </c>
      <c r="K63" s="82">
        <v>4</v>
      </c>
      <c r="L63" s="83"/>
    </row>
    <row r="64" spans="1:12" x14ac:dyDescent="0.3">
      <c r="A64" s="43" t="s">
        <v>261</v>
      </c>
      <c r="B64" s="43" t="s">
        <v>264</v>
      </c>
      <c r="C64" s="43" t="s">
        <v>61</v>
      </c>
      <c r="D64" s="43"/>
      <c r="E64" s="43">
        <v>1</v>
      </c>
      <c r="F64" s="43">
        <v>2</v>
      </c>
      <c r="G64" s="43">
        <v>0</v>
      </c>
      <c r="H64" s="43">
        <v>0</v>
      </c>
      <c r="I64" s="43">
        <v>1</v>
      </c>
      <c r="J64" s="43">
        <v>0</v>
      </c>
      <c r="K64" s="82">
        <v>4</v>
      </c>
      <c r="L64" s="83"/>
    </row>
    <row r="65" spans="1:12" s="14" customFormat="1" ht="17.25" x14ac:dyDescent="0.3">
      <c r="A65" s="43" t="s">
        <v>261</v>
      </c>
      <c r="B65" s="43" t="s">
        <v>265</v>
      </c>
      <c r="C65" s="43" t="s">
        <v>228</v>
      </c>
      <c r="D65" s="43" t="s">
        <v>236</v>
      </c>
      <c r="E65" s="43">
        <v>0</v>
      </c>
      <c r="F65" s="43">
        <v>3</v>
      </c>
      <c r="G65" s="43">
        <v>0</v>
      </c>
      <c r="H65" s="43">
        <v>1</v>
      </c>
      <c r="I65" s="43">
        <v>1</v>
      </c>
      <c r="J65" s="43">
        <v>0</v>
      </c>
      <c r="K65" s="82">
        <v>0</v>
      </c>
      <c r="L65" s="38" t="s">
        <v>237</v>
      </c>
    </row>
    <row r="66" spans="1:12" s="14" customFormat="1" ht="17.25" x14ac:dyDescent="0.3">
      <c r="A66" s="43" t="s">
        <v>261</v>
      </c>
      <c r="B66" s="43" t="s">
        <v>266</v>
      </c>
      <c r="C66" s="43" t="s">
        <v>67</v>
      </c>
      <c r="D66" s="43"/>
      <c r="E66" s="43">
        <v>0</v>
      </c>
      <c r="F66" s="43">
        <v>1</v>
      </c>
      <c r="G66" s="43">
        <v>0</v>
      </c>
      <c r="H66" s="43">
        <v>1</v>
      </c>
      <c r="I66" s="43">
        <v>0</v>
      </c>
      <c r="J66" s="43">
        <v>0</v>
      </c>
      <c r="K66" s="82">
        <v>2</v>
      </c>
      <c r="L66" s="38"/>
    </row>
    <row r="67" spans="1:12" s="14" customFormat="1" ht="17.25" x14ac:dyDescent="0.3">
      <c r="A67" s="43" t="s">
        <v>261</v>
      </c>
      <c r="B67" s="43" t="s">
        <v>267</v>
      </c>
      <c r="C67" s="43" t="s">
        <v>72</v>
      </c>
      <c r="D67" s="43"/>
      <c r="E67" s="43">
        <v>0</v>
      </c>
      <c r="F67" s="43">
        <v>1</v>
      </c>
      <c r="G67" s="43">
        <v>0</v>
      </c>
      <c r="H67" s="43">
        <v>0</v>
      </c>
      <c r="I67" s="43">
        <v>0</v>
      </c>
      <c r="J67" s="43">
        <v>0</v>
      </c>
      <c r="K67" s="82">
        <v>1</v>
      </c>
      <c r="L67" s="38"/>
    </row>
    <row r="68" spans="1:12" s="14" customFormat="1" x14ac:dyDescent="0.25">
      <c r="A68" s="38" t="s">
        <v>261</v>
      </c>
      <c r="B68" s="38" t="s">
        <v>268</v>
      </c>
      <c r="C68" s="38" t="s">
        <v>37</v>
      </c>
      <c r="D68" s="38"/>
      <c r="E68" s="38">
        <v>2</v>
      </c>
      <c r="F68" s="38">
        <v>1</v>
      </c>
      <c r="G68" s="38">
        <v>0</v>
      </c>
      <c r="H68" s="38">
        <v>0</v>
      </c>
      <c r="I68" s="38">
        <v>0</v>
      </c>
      <c r="J68" s="38">
        <v>0</v>
      </c>
      <c r="K68" s="38">
        <v>3</v>
      </c>
      <c r="L68" s="38"/>
    </row>
    <row r="69" spans="1:12" s="14" customFormat="1" x14ac:dyDescent="0.25">
      <c r="A69" s="91" t="s">
        <v>261</v>
      </c>
      <c r="B69" s="91" t="s">
        <v>269</v>
      </c>
      <c r="C69" s="91" t="s">
        <v>74</v>
      </c>
      <c r="D69" s="91"/>
      <c r="E69" s="91">
        <v>1</v>
      </c>
      <c r="F69" s="91">
        <v>2</v>
      </c>
      <c r="G69" s="91">
        <v>1</v>
      </c>
      <c r="H69" s="91">
        <v>0</v>
      </c>
      <c r="I69" s="91">
        <v>0</v>
      </c>
      <c r="J69" s="91">
        <v>0</v>
      </c>
      <c r="K69" s="91">
        <v>4</v>
      </c>
      <c r="L69" s="91"/>
    </row>
    <row r="70" spans="1:12" s="14" customFormat="1" ht="17.25" x14ac:dyDescent="0.3">
      <c r="A70" s="69" t="s">
        <v>261</v>
      </c>
      <c r="B70" s="69" t="s">
        <v>204</v>
      </c>
      <c r="C70" s="69" t="s">
        <v>64</v>
      </c>
      <c r="D70" s="69" t="s">
        <v>270</v>
      </c>
      <c r="E70" s="92">
        <v>1</v>
      </c>
      <c r="F70" s="92">
        <v>0</v>
      </c>
      <c r="G70" s="92">
        <v>0</v>
      </c>
      <c r="H70" s="92">
        <v>0</v>
      </c>
      <c r="I70" s="92">
        <v>1</v>
      </c>
      <c r="J70" s="92">
        <v>3</v>
      </c>
      <c r="K70" s="92">
        <v>5</v>
      </c>
      <c r="L70" s="69"/>
    </row>
    <row r="71" spans="1:12" s="14" customFormat="1" ht="17.25" x14ac:dyDescent="0.3">
      <c r="A71" s="93" t="s">
        <v>261</v>
      </c>
      <c r="B71" s="93" t="s">
        <v>213</v>
      </c>
      <c r="C71" s="93" t="s">
        <v>77</v>
      </c>
      <c r="D71" s="93"/>
      <c r="E71" s="94">
        <v>1</v>
      </c>
      <c r="F71" s="94">
        <v>1</v>
      </c>
      <c r="G71" s="94">
        <v>0</v>
      </c>
      <c r="H71" s="94">
        <v>0</v>
      </c>
      <c r="I71" s="94">
        <v>1</v>
      </c>
      <c r="J71" s="94">
        <v>0</v>
      </c>
      <c r="K71" s="94">
        <v>3</v>
      </c>
      <c r="L71" s="95"/>
    </row>
    <row r="72" spans="1:12" x14ac:dyDescent="0.25">
      <c r="A72" s="96" t="s">
        <v>261</v>
      </c>
      <c r="B72" s="96" t="s">
        <v>183</v>
      </c>
      <c r="C72" s="96" t="s">
        <v>23</v>
      </c>
      <c r="D72" s="96"/>
      <c r="E72" s="102">
        <v>0</v>
      </c>
      <c r="F72" s="102">
        <v>0</v>
      </c>
      <c r="G72" s="102">
        <v>0</v>
      </c>
      <c r="H72" s="102">
        <v>0</v>
      </c>
      <c r="I72" s="102">
        <v>1</v>
      </c>
      <c r="J72" s="102">
        <v>0</v>
      </c>
      <c r="K72" s="102">
        <v>1</v>
      </c>
      <c r="L72" s="97"/>
    </row>
    <row r="73" spans="1:12" x14ac:dyDescent="0.25">
      <c r="A73" s="111" t="s">
        <v>261</v>
      </c>
      <c r="B73" s="111" t="s">
        <v>185</v>
      </c>
      <c r="C73" s="111" t="s">
        <v>82</v>
      </c>
      <c r="D73" s="111"/>
      <c r="E73" s="112">
        <v>0</v>
      </c>
      <c r="F73" s="112">
        <v>0</v>
      </c>
      <c r="G73" s="112">
        <v>0</v>
      </c>
      <c r="H73" s="112">
        <v>2</v>
      </c>
      <c r="I73" s="112">
        <v>1</v>
      </c>
      <c r="J73" s="112">
        <v>0</v>
      </c>
      <c r="K73" s="112">
        <f>SUM(E73:J73)</f>
        <v>3</v>
      </c>
      <c r="L73" s="113"/>
    </row>
    <row r="74" spans="1:12" s="14" customFormat="1" x14ac:dyDescent="0.25">
      <c r="A74" s="133" t="s">
        <v>271</v>
      </c>
      <c r="B74" s="133"/>
      <c r="C74" s="133"/>
      <c r="D74" s="133"/>
      <c r="E74" s="135">
        <f>SUM(E62:E64,E66:E73)</f>
        <v>9</v>
      </c>
      <c r="F74" s="135">
        <f>SUM(F62:F64,F66:F73)</f>
        <v>11</v>
      </c>
      <c r="G74" s="135">
        <f>SUM(G62:G64,G66:G73)</f>
        <v>1</v>
      </c>
      <c r="H74" s="135">
        <f>SUM(H62:H64,H66:H73)</f>
        <v>4</v>
      </c>
      <c r="I74" s="135">
        <f>SUM(I62:I64,I66:I73)</f>
        <v>6</v>
      </c>
      <c r="J74" s="135">
        <f>SUM(J62:J64,J66:J73)</f>
        <v>3</v>
      </c>
      <c r="K74" s="135">
        <f>SUM(K62:K64,K66:K73)</f>
        <v>34</v>
      </c>
      <c r="L74" s="134"/>
    </row>
    <row r="75" spans="1:12" s="14" customFormat="1" x14ac:dyDescent="0.25">
      <c r="A75" s="136" t="s">
        <v>26</v>
      </c>
      <c r="B75" s="136"/>
      <c r="C75" s="136"/>
      <c r="D75" s="136"/>
      <c r="E75" s="138">
        <f>IF($K$74=0,0,E74/$K$74)</f>
        <v>0.26470588235294118</v>
      </c>
      <c r="F75" s="138">
        <f>IF($K$74=0,0,F74/$K$74)</f>
        <v>0.3235294117647059</v>
      </c>
      <c r="G75" s="138">
        <f>IF($K$74=0,0,G74/$K$74)</f>
        <v>2.9411764705882353E-2</v>
      </c>
      <c r="H75" s="138">
        <f>IF($K$74=0,0,H74/$K$74)</f>
        <v>0.11764705882352941</v>
      </c>
      <c r="I75" s="138">
        <f>IF($K$74=0,0,I74/$K$74)</f>
        <v>0.17647058823529413</v>
      </c>
      <c r="J75" s="138">
        <f>IF($K$74=0,0,J74/$K$74)</f>
        <v>8.8235294117647065E-2</v>
      </c>
      <c r="K75" s="138">
        <f>IF($K$74=0,0,K74/$K$74)</f>
        <v>1</v>
      </c>
      <c r="L75" s="137"/>
    </row>
    <row r="76" spans="1:12" s="14" customFormat="1" x14ac:dyDescent="0.25">
      <c r="A76" s="91" t="s">
        <v>272</v>
      </c>
      <c r="B76" s="91" t="s">
        <v>273</v>
      </c>
      <c r="C76" s="91" t="s">
        <v>63</v>
      </c>
      <c r="D76" s="91"/>
      <c r="E76" s="91">
        <v>1</v>
      </c>
      <c r="F76" s="91">
        <v>2</v>
      </c>
      <c r="G76" s="91">
        <v>0</v>
      </c>
      <c r="H76" s="91">
        <v>0</v>
      </c>
      <c r="I76" s="91">
        <v>2</v>
      </c>
      <c r="J76" s="91">
        <v>0</v>
      </c>
      <c r="K76" s="91">
        <v>5</v>
      </c>
      <c r="L76" s="91"/>
    </row>
    <row r="77" spans="1:12" x14ac:dyDescent="0.3">
      <c r="A77" s="69" t="s">
        <v>272</v>
      </c>
      <c r="B77" s="69" t="s">
        <v>274</v>
      </c>
      <c r="C77" s="69" t="s">
        <v>61</v>
      </c>
      <c r="D77" s="69"/>
      <c r="E77" s="92">
        <v>1</v>
      </c>
      <c r="F77" s="92">
        <v>2</v>
      </c>
      <c r="G77" s="92">
        <v>1</v>
      </c>
      <c r="H77" s="92">
        <v>0</v>
      </c>
      <c r="I77" s="92">
        <v>0</v>
      </c>
      <c r="J77" s="92">
        <v>0</v>
      </c>
      <c r="K77" s="92">
        <v>4</v>
      </c>
      <c r="L77" s="69"/>
    </row>
    <row r="78" spans="1:12" x14ac:dyDescent="0.3">
      <c r="A78" s="93" t="s">
        <v>272</v>
      </c>
      <c r="B78" s="93" t="s">
        <v>275</v>
      </c>
      <c r="C78" s="93" t="s">
        <v>65</v>
      </c>
      <c r="D78" s="93"/>
      <c r="E78" s="94">
        <v>1</v>
      </c>
      <c r="F78" s="94">
        <v>1</v>
      </c>
      <c r="G78" s="94">
        <v>0</v>
      </c>
      <c r="H78" s="94">
        <v>0</v>
      </c>
      <c r="I78" s="94">
        <v>2</v>
      </c>
      <c r="J78" s="94">
        <v>0</v>
      </c>
      <c r="K78" s="94">
        <v>4</v>
      </c>
      <c r="L78" s="93"/>
    </row>
    <row r="79" spans="1:12" x14ac:dyDescent="0.25">
      <c r="A79" s="96" t="s">
        <v>272</v>
      </c>
      <c r="B79" s="96" t="s">
        <v>276</v>
      </c>
      <c r="C79" s="96" t="s">
        <v>68</v>
      </c>
      <c r="D79" s="96"/>
      <c r="E79" s="102">
        <v>1</v>
      </c>
      <c r="F79" s="102">
        <v>1</v>
      </c>
      <c r="G79" s="102">
        <v>0</v>
      </c>
      <c r="H79" s="102">
        <v>0</v>
      </c>
      <c r="I79" s="102">
        <v>1</v>
      </c>
      <c r="J79" s="102">
        <v>0</v>
      </c>
      <c r="K79" s="102">
        <v>3</v>
      </c>
      <c r="L79" s="96"/>
    </row>
    <row r="80" spans="1:12" x14ac:dyDescent="0.25">
      <c r="A80" s="115" t="s">
        <v>272</v>
      </c>
      <c r="B80" s="115" t="s">
        <v>277</v>
      </c>
      <c r="C80" s="115" t="s">
        <v>75</v>
      </c>
      <c r="D80" s="115"/>
      <c r="E80" s="116">
        <v>1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f>SUM(E80:J80)</f>
        <v>1</v>
      </c>
      <c r="L80" s="115"/>
    </row>
    <row r="81" spans="1:12" x14ac:dyDescent="0.25">
      <c r="A81" s="139" t="s">
        <v>278</v>
      </c>
      <c r="B81" s="139"/>
      <c r="C81" s="139"/>
      <c r="D81" s="139"/>
      <c r="E81" s="140">
        <f>SUM(E76:E80)</f>
        <v>5</v>
      </c>
      <c r="F81" s="140">
        <f>SUM(F76:F80)</f>
        <v>6</v>
      </c>
      <c r="G81" s="140">
        <f>SUM(G76:G80)</f>
        <v>1</v>
      </c>
      <c r="H81" s="140">
        <f>SUM(H76:H80)</f>
        <v>0</v>
      </c>
      <c r="I81" s="140">
        <f>SUM(I76:I80)</f>
        <v>5</v>
      </c>
      <c r="J81" s="140">
        <f>SUM(J76:J80)</f>
        <v>0</v>
      </c>
      <c r="K81" s="140">
        <f>SUM(K76:K80)</f>
        <v>17</v>
      </c>
      <c r="L81" s="139"/>
    </row>
    <row r="82" spans="1:12" x14ac:dyDescent="0.25">
      <c r="A82" s="141" t="s">
        <v>26</v>
      </c>
      <c r="B82" s="141"/>
      <c r="C82" s="141"/>
      <c r="D82" s="141"/>
      <c r="E82" s="142">
        <f>IF($K$81=0,0,E81/$K$81)</f>
        <v>0.29411764705882354</v>
      </c>
      <c r="F82" s="142">
        <f>IF($K$81=0,0,F81/$K$81)</f>
        <v>0.35294117647058826</v>
      </c>
      <c r="G82" s="142">
        <f>IF($K$81=0,0,G81/$K$81)</f>
        <v>5.8823529411764705E-2</v>
      </c>
      <c r="H82" s="142">
        <f>IF($K$81=0,0,H81/$K$81)</f>
        <v>0</v>
      </c>
      <c r="I82" s="142">
        <f>IF($K$81=0,0,I81/$K$81)</f>
        <v>0.29411764705882354</v>
      </c>
      <c r="J82" s="142">
        <f>IF($K$81=0,0,J81/$K$81)</f>
        <v>0</v>
      </c>
      <c r="K82" s="142">
        <f>IF($K$81=0,0,K81/$K$81)</f>
        <v>1</v>
      </c>
      <c r="L82" s="141"/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2"/>
  <sheetViews>
    <sheetView zoomScaleNormal="60" zoomScaleSheetLayoutView="100" workbookViewId="0"/>
  </sheetViews>
  <sheetFormatPr defaultRowHeight="16.5" x14ac:dyDescent="0.25"/>
  <cols>
    <col min="1" max="1" width="14.9765625" style="14" customWidth="1"/>
    <col min="2" max="2" width="6.43359375" style="14" customWidth="1"/>
    <col min="3" max="9" width="4.82421875" style="14" customWidth="1"/>
    <col min="10" max="10" width="8.16796875" style="14" customWidth="1"/>
  </cols>
  <sheetData>
    <row r="1" spans="1:10" x14ac:dyDescent="0.25">
      <c r="A1" s="152" t="s">
        <v>55</v>
      </c>
      <c r="B1" s="153"/>
      <c r="C1" s="153"/>
      <c r="D1" s="153"/>
      <c r="E1" s="153"/>
      <c r="F1" s="153"/>
      <c r="G1" s="153"/>
      <c r="H1" s="153"/>
      <c r="I1" s="153"/>
      <c r="J1" s="153"/>
    </row>
    <row r="2" spans="1:10" s="14" customFormat="1" ht="21.2" customHeight="1" x14ac:dyDescent="0.3">
      <c r="A2" s="1" t="s">
        <v>56</v>
      </c>
      <c r="B2" s="1" t="s">
        <v>57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  <c r="H2" s="7" t="s">
        <v>58</v>
      </c>
      <c r="I2" s="1" t="s">
        <v>8</v>
      </c>
      <c r="J2" s="36" t="s">
        <v>59</v>
      </c>
    </row>
    <row r="3" spans="1:10" x14ac:dyDescent="0.3">
      <c r="A3" s="12" t="s">
        <v>60</v>
      </c>
      <c r="B3" s="11">
        <v>3</v>
      </c>
      <c r="C3" s="11">
        <v>4</v>
      </c>
      <c r="D3" s="11">
        <v>5</v>
      </c>
      <c r="E3" s="11">
        <v>1</v>
      </c>
      <c r="F3" s="11">
        <v>2</v>
      </c>
      <c r="G3" s="11">
        <v>2</v>
      </c>
      <c r="H3" s="11">
        <v>0</v>
      </c>
      <c r="I3" s="9">
        <v>14</v>
      </c>
      <c r="J3" s="34">
        <v>0.28571428571428598</v>
      </c>
    </row>
    <row r="4" spans="1:10" s="14" customFormat="1" ht="21.2" customHeight="1" x14ac:dyDescent="0.3">
      <c r="A4" s="12" t="s">
        <v>61</v>
      </c>
      <c r="B4" s="11">
        <v>3</v>
      </c>
      <c r="C4" s="11">
        <v>3</v>
      </c>
      <c r="D4" s="11">
        <v>5</v>
      </c>
      <c r="E4" s="11">
        <v>1</v>
      </c>
      <c r="F4" s="11">
        <v>0</v>
      </c>
      <c r="G4" s="11">
        <v>1</v>
      </c>
      <c r="H4" s="11">
        <v>0</v>
      </c>
      <c r="I4" s="9">
        <v>10</v>
      </c>
      <c r="J4" s="99">
        <f>IF(I4=0,0,C4/I4)</f>
        <v>0.3</v>
      </c>
    </row>
    <row r="5" spans="1:10" x14ac:dyDescent="0.3">
      <c r="A5" s="12" t="s">
        <v>49</v>
      </c>
      <c r="B5" s="11">
        <v>3</v>
      </c>
      <c r="C5" s="11">
        <v>2</v>
      </c>
      <c r="D5" s="11">
        <v>5</v>
      </c>
      <c r="E5" s="11">
        <v>0</v>
      </c>
      <c r="F5" s="11">
        <v>1</v>
      </c>
      <c r="G5" s="11">
        <v>3</v>
      </c>
      <c r="H5" s="11">
        <v>0</v>
      </c>
      <c r="I5" s="9">
        <v>11</v>
      </c>
      <c r="J5" s="34">
        <v>0.1818181818181818</v>
      </c>
    </row>
    <row r="6" spans="1:10" x14ac:dyDescent="0.3">
      <c r="A6" s="12" t="s">
        <v>31</v>
      </c>
      <c r="B6" s="11">
        <v>2</v>
      </c>
      <c r="C6" s="11">
        <v>3</v>
      </c>
      <c r="D6" s="11">
        <v>5</v>
      </c>
      <c r="E6" s="11">
        <v>1</v>
      </c>
      <c r="F6" s="11">
        <v>1</v>
      </c>
      <c r="G6" s="11">
        <v>1</v>
      </c>
      <c r="H6" s="11">
        <v>0</v>
      </c>
      <c r="I6" s="9">
        <v>11</v>
      </c>
      <c r="J6" s="34">
        <v>0.27272727272727298</v>
      </c>
    </row>
    <row r="7" spans="1:10" x14ac:dyDescent="0.3">
      <c r="A7" s="12" t="s">
        <v>29</v>
      </c>
      <c r="B7" s="11">
        <v>2</v>
      </c>
      <c r="C7" s="11">
        <v>3</v>
      </c>
      <c r="D7" s="11">
        <v>6</v>
      </c>
      <c r="E7" s="11">
        <v>0</v>
      </c>
      <c r="F7" s="11">
        <v>0</v>
      </c>
      <c r="G7" s="11">
        <v>3</v>
      </c>
      <c r="H7" s="11">
        <v>0</v>
      </c>
      <c r="I7" s="9">
        <v>12</v>
      </c>
      <c r="J7" s="34">
        <v>0.25</v>
      </c>
    </row>
    <row r="8" spans="1:10" x14ac:dyDescent="0.3">
      <c r="A8" s="12" t="s">
        <v>62</v>
      </c>
      <c r="B8" s="11">
        <v>2</v>
      </c>
      <c r="C8" s="11">
        <v>4</v>
      </c>
      <c r="D8" s="11">
        <v>6</v>
      </c>
      <c r="E8" s="11">
        <v>1</v>
      </c>
      <c r="F8" s="11">
        <v>0</v>
      </c>
      <c r="G8" s="11">
        <v>2</v>
      </c>
      <c r="H8" s="11">
        <v>0</v>
      </c>
      <c r="I8" s="9">
        <v>13</v>
      </c>
      <c r="J8" s="99">
        <f>IF(I8=0,0,C8/I8)</f>
        <v>0.30769230769230771</v>
      </c>
    </row>
    <row r="9" spans="1:10" x14ac:dyDescent="0.3">
      <c r="A9" s="12" t="s">
        <v>43</v>
      </c>
      <c r="B9" s="11">
        <v>1</v>
      </c>
      <c r="C9" s="11">
        <v>2</v>
      </c>
      <c r="D9" s="11">
        <v>3</v>
      </c>
      <c r="E9" s="11">
        <v>1</v>
      </c>
      <c r="F9" s="11">
        <v>0</v>
      </c>
      <c r="G9" s="11">
        <v>1</v>
      </c>
      <c r="H9" s="11">
        <v>0</v>
      </c>
      <c r="I9" s="9">
        <v>7</v>
      </c>
      <c r="J9" s="34">
        <v>0.28571428571428598</v>
      </c>
    </row>
    <row r="10" spans="1:10" x14ac:dyDescent="0.3">
      <c r="A10" s="12" t="s">
        <v>41</v>
      </c>
      <c r="B10" s="11">
        <v>2</v>
      </c>
      <c r="C10" s="11">
        <v>2</v>
      </c>
      <c r="D10" s="11">
        <v>3</v>
      </c>
      <c r="E10" s="11">
        <v>0</v>
      </c>
      <c r="F10" s="11">
        <v>0</v>
      </c>
      <c r="G10" s="11">
        <v>1</v>
      </c>
      <c r="H10" s="11">
        <v>0</v>
      </c>
      <c r="I10" s="9">
        <v>6</v>
      </c>
      <c r="J10" s="34">
        <v>0.33333333333333298</v>
      </c>
    </row>
    <row r="11" spans="1:10" x14ac:dyDescent="0.3">
      <c r="A11" s="12" t="s">
        <v>37</v>
      </c>
      <c r="B11" s="11">
        <v>2</v>
      </c>
      <c r="C11" s="11">
        <v>4</v>
      </c>
      <c r="D11" s="11">
        <v>4</v>
      </c>
      <c r="E11" s="11">
        <v>0</v>
      </c>
      <c r="F11" s="11">
        <v>0</v>
      </c>
      <c r="G11" s="11">
        <v>1</v>
      </c>
      <c r="H11" s="11">
        <v>0</v>
      </c>
      <c r="I11" s="9">
        <v>9</v>
      </c>
      <c r="J11" s="34">
        <v>0.44444444444444442</v>
      </c>
    </row>
    <row r="12" spans="1:10" x14ac:dyDescent="0.3">
      <c r="A12" s="12" t="s">
        <v>63</v>
      </c>
      <c r="B12" s="144">
        <v>2</v>
      </c>
      <c r="C12" s="144">
        <v>2</v>
      </c>
      <c r="D12" s="144">
        <v>4</v>
      </c>
      <c r="E12" s="144">
        <v>0</v>
      </c>
      <c r="F12" s="144">
        <v>0</v>
      </c>
      <c r="G12" s="144">
        <v>2</v>
      </c>
      <c r="H12" s="144">
        <v>0</v>
      </c>
      <c r="I12" s="143">
        <v>8</v>
      </c>
      <c r="J12" s="99">
        <f>IF(I12=0,0,C12/I12)</f>
        <v>0.25</v>
      </c>
    </row>
    <row r="13" spans="1:10" s="14" customFormat="1" ht="21.2" customHeight="1" x14ac:dyDescent="0.3">
      <c r="A13" s="12" t="s">
        <v>33</v>
      </c>
      <c r="B13" s="11">
        <v>2</v>
      </c>
      <c r="C13" s="11">
        <v>3</v>
      </c>
      <c r="D13" s="11">
        <v>5</v>
      </c>
      <c r="E13" s="11">
        <v>0</v>
      </c>
      <c r="F13" s="11">
        <v>1</v>
      </c>
      <c r="G13" s="11">
        <v>1</v>
      </c>
      <c r="H13" s="11">
        <v>1</v>
      </c>
      <c r="I13" s="9">
        <v>11</v>
      </c>
      <c r="J13" s="34">
        <v>0.27272727272727271</v>
      </c>
    </row>
    <row r="14" spans="1:10" x14ac:dyDescent="0.3">
      <c r="A14" s="12" t="s">
        <v>64</v>
      </c>
      <c r="B14" s="11">
        <v>3</v>
      </c>
      <c r="C14" s="11">
        <v>3</v>
      </c>
      <c r="D14" s="11">
        <v>3</v>
      </c>
      <c r="E14" s="11">
        <v>0</v>
      </c>
      <c r="F14" s="11">
        <v>0</v>
      </c>
      <c r="G14" s="11">
        <v>2</v>
      </c>
      <c r="H14" s="11">
        <v>5</v>
      </c>
      <c r="I14" s="9">
        <v>13</v>
      </c>
      <c r="J14" s="34">
        <v>0.23076923076923081</v>
      </c>
    </row>
    <row r="15" spans="1:10" x14ac:dyDescent="0.3">
      <c r="A15" s="12" t="s">
        <v>65</v>
      </c>
      <c r="B15" s="11">
        <v>1</v>
      </c>
      <c r="C15" s="11">
        <v>1</v>
      </c>
      <c r="D15" s="11">
        <v>1</v>
      </c>
      <c r="E15" s="11">
        <v>0</v>
      </c>
      <c r="F15" s="11">
        <v>0</v>
      </c>
      <c r="G15" s="11">
        <v>2</v>
      </c>
      <c r="H15" s="11">
        <v>0</v>
      </c>
      <c r="I15" s="9">
        <v>4</v>
      </c>
      <c r="J15" s="34">
        <v>0.25</v>
      </c>
    </row>
    <row r="16" spans="1:10" x14ac:dyDescent="0.3">
      <c r="A16" s="12" t="s">
        <v>39</v>
      </c>
      <c r="B16" s="11">
        <v>1</v>
      </c>
      <c r="C16" s="11">
        <v>1</v>
      </c>
      <c r="D16" s="11">
        <v>2</v>
      </c>
      <c r="E16" s="11">
        <v>0</v>
      </c>
      <c r="F16" s="11">
        <v>1</v>
      </c>
      <c r="G16" s="11">
        <v>0</v>
      </c>
      <c r="H16" s="11">
        <v>0</v>
      </c>
      <c r="I16" s="9">
        <v>4</v>
      </c>
      <c r="J16" s="34">
        <v>0.25</v>
      </c>
    </row>
    <row r="17" spans="1:10" x14ac:dyDescent="0.3">
      <c r="A17" s="12" t="s">
        <v>45</v>
      </c>
      <c r="B17" s="11">
        <v>1</v>
      </c>
      <c r="C17" s="11">
        <v>1</v>
      </c>
      <c r="D17" s="11">
        <v>2</v>
      </c>
      <c r="E17" s="11">
        <v>0</v>
      </c>
      <c r="F17" s="11">
        <v>0</v>
      </c>
      <c r="G17" s="11">
        <v>1</v>
      </c>
      <c r="H17" s="11">
        <v>0</v>
      </c>
      <c r="I17" s="9">
        <v>4</v>
      </c>
      <c r="J17" s="34">
        <v>0.25</v>
      </c>
    </row>
    <row r="18" spans="1:10" x14ac:dyDescent="0.3">
      <c r="A18" s="12" t="s">
        <v>66</v>
      </c>
      <c r="B18" s="11">
        <v>1</v>
      </c>
      <c r="C18" s="11">
        <v>1</v>
      </c>
      <c r="D18" s="11">
        <v>1</v>
      </c>
      <c r="E18" s="11">
        <v>0</v>
      </c>
      <c r="F18" s="11">
        <v>0</v>
      </c>
      <c r="G18" s="11">
        <v>2</v>
      </c>
      <c r="H18" s="11">
        <v>0</v>
      </c>
      <c r="I18" s="9">
        <v>4</v>
      </c>
      <c r="J18" s="34">
        <v>0.25</v>
      </c>
    </row>
    <row r="19" spans="1:10" x14ac:dyDescent="0.3">
      <c r="A19" s="12" t="s">
        <v>51</v>
      </c>
      <c r="B19" s="11">
        <v>1</v>
      </c>
      <c r="C19" s="11">
        <v>1</v>
      </c>
      <c r="D19" s="11">
        <v>2</v>
      </c>
      <c r="E19" s="11">
        <v>0</v>
      </c>
      <c r="F19" s="11">
        <v>0</v>
      </c>
      <c r="G19" s="11">
        <v>1</v>
      </c>
      <c r="H19" s="11">
        <v>0</v>
      </c>
      <c r="I19" s="9">
        <v>4</v>
      </c>
      <c r="J19" s="34">
        <v>0.25</v>
      </c>
    </row>
    <row r="20" spans="1:10" x14ac:dyDescent="0.3">
      <c r="A20" s="12" t="s">
        <v>23</v>
      </c>
      <c r="B20" s="11">
        <v>3</v>
      </c>
      <c r="C20" s="11">
        <v>2</v>
      </c>
      <c r="D20" s="11">
        <v>2</v>
      </c>
      <c r="E20" s="11">
        <v>0</v>
      </c>
      <c r="F20" s="11">
        <v>0</v>
      </c>
      <c r="G20" s="11">
        <v>3</v>
      </c>
      <c r="H20" s="11">
        <v>0</v>
      </c>
      <c r="I20" s="9">
        <v>7</v>
      </c>
      <c r="J20" s="34">
        <v>0.2857142857142857</v>
      </c>
    </row>
    <row r="21" spans="1:10" x14ac:dyDescent="0.3">
      <c r="A21" s="12" t="s">
        <v>67</v>
      </c>
      <c r="B21" s="11">
        <v>2</v>
      </c>
      <c r="C21" s="11">
        <v>1</v>
      </c>
      <c r="D21" s="11">
        <v>1</v>
      </c>
      <c r="E21" s="11">
        <v>0</v>
      </c>
      <c r="F21" s="11">
        <v>1</v>
      </c>
      <c r="G21" s="11">
        <v>0</v>
      </c>
      <c r="H21" s="11">
        <v>0</v>
      </c>
      <c r="I21" s="9">
        <v>3</v>
      </c>
      <c r="J21" s="34">
        <v>0.33333333333333298</v>
      </c>
    </row>
    <row r="22" spans="1:10" x14ac:dyDescent="0.3">
      <c r="A22" s="12" t="s">
        <v>68</v>
      </c>
      <c r="B22" s="11">
        <v>1</v>
      </c>
      <c r="C22" s="11">
        <v>1</v>
      </c>
      <c r="D22" s="11">
        <v>1</v>
      </c>
      <c r="E22" s="11">
        <v>0</v>
      </c>
      <c r="F22" s="11">
        <v>0</v>
      </c>
      <c r="G22" s="11">
        <v>1</v>
      </c>
      <c r="H22" s="11">
        <v>0</v>
      </c>
      <c r="I22" s="9">
        <v>3</v>
      </c>
      <c r="J22" s="34">
        <v>0.33333333333333298</v>
      </c>
    </row>
    <row r="23" spans="1:10" s="14" customFormat="1" ht="21.2" customHeight="1" x14ac:dyDescent="0.3">
      <c r="A23" s="12" t="s">
        <v>69</v>
      </c>
      <c r="B23" s="11">
        <v>1</v>
      </c>
      <c r="C23" s="11">
        <v>1</v>
      </c>
      <c r="D23" s="11">
        <v>1</v>
      </c>
      <c r="E23" s="11">
        <v>0</v>
      </c>
      <c r="F23" s="11">
        <v>0</v>
      </c>
      <c r="G23" s="11">
        <v>1</v>
      </c>
      <c r="H23" s="11">
        <v>0</v>
      </c>
      <c r="I23" s="9">
        <v>3</v>
      </c>
      <c r="J23" s="34">
        <v>0.33333333333333298</v>
      </c>
    </row>
    <row r="24" spans="1:10" x14ac:dyDescent="0.3">
      <c r="A24" s="12" t="s">
        <v>35</v>
      </c>
      <c r="B24" s="11">
        <v>2</v>
      </c>
      <c r="C24" s="11">
        <v>2</v>
      </c>
      <c r="D24" s="11">
        <v>3</v>
      </c>
      <c r="E24" s="11">
        <v>0</v>
      </c>
      <c r="F24" s="11">
        <v>0</v>
      </c>
      <c r="G24" s="11">
        <v>1</v>
      </c>
      <c r="H24" s="11">
        <v>0</v>
      </c>
      <c r="I24" s="9">
        <f>SUM(C24:H24)</f>
        <v>6</v>
      </c>
      <c r="J24" s="34">
        <f>IF(I24=0,0,C24/I24)</f>
        <v>0.33333333333333331</v>
      </c>
    </row>
    <row r="25" spans="1:10" x14ac:dyDescent="0.3">
      <c r="A25" s="12" t="s">
        <v>137</v>
      </c>
      <c r="B25" s="11">
        <v>1</v>
      </c>
      <c r="C25" s="11">
        <v>1</v>
      </c>
      <c r="D25" s="11">
        <v>1</v>
      </c>
      <c r="E25" s="11">
        <v>0</v>
      </c>
      <c r="F25" s="11">
        <v>1</v>
      </c>
      <c r="G25" s="11">
        <v>0</v>
      </c>
      <c r="H25" s="11">
        <v>0</v>
      </c>
      <c r="I25" s="9">
        <v>3</v>
      </c>
      <c r="J25" s="34">
        <v>0.33333333333333298</v>
      </c>
    </row>
    <row r="26" spans="1:10" x14ac:dyDescent="0.3">
      <c r="A26" s="12" t="s">
        <v>70</v>
      </c>
      <c r="B26" s="11">
        <v>1</v>
      </c>
      <c r="C26" s="11">
        <v>0</v>
      </c>
      <c r="D26" s="11">
        <v>2</v>
      </c>
      <c r="E26" s="11">
        <v>0</v>
      </c>
      <c r="F26" s="11">
        <v>0</v>
      </c>
      <c r="G26" s="11">
        <v>1</v>
      </c>
      <c r="H26" s="11">
        <v>0</v>
      </c>
      <c r="I26" s="9">
        <v>3</v>
      </c>
      <c r="J26" s="34">
        <v>0</v>
      </c>
    </row>
    <row r="27" spans="1:10" x14ac:dyDescent="0.3">
      <c r="A27" s="12" t="s">
        <v>21</v>
      </c>
      <c r="B27" s="11">
        <v>1</v>
      </c>
      <c r="C27" s="11">
        <v>1</v>
      </c>
      <c r="D27" s="11">
        <v>1</v>
      </c>
      <c r="E27" s="11">
        <v>0</v>
      </c>
      <c r="F27" s="11">
        <v>0</v>
      </c>
      <c r="G27" s="11">
        <v>0</v>
      </c>
      <c r="H27" s="11">
        <v>0</v>
      </c>
      <c r="I27" s="9">
        <v>2</v>
      </c>
      <c r="J27" s="34">
        <v>0.5</v>
      </c>
    </row>
    <row r="28" spans="1:10" x14ac:dyDescent="0.3">
      <c r="A28" s="12" t="s">
        <v>47</v>
      </c>
      <c r="B28" s="11">
        <v>1</v>
      </c>
      <c r="C28" s="11">
        <v>0</v>
      </c>
      <c r="D28" s="11">
        <v>1</v>
      </c>
      <c r="E28" s="11">
        <v>0</v>
      </c>
      <c r="F28" s="11">
        <v>0</v>
      </c>
      <c r="G28" s="11">
        <v>1</v>
      </c>
      <c r="H28" s="11">
        <v>0</v>
      </c>
      <c r="I28" s="9">
        <v>2</v>
      </c>
      <c r="J28" s="34">
        <v>0</v>
      </c>
    </row>
    <row r="29" spans="1:10" x14ac:dyDescent="0.3">
      <c r="A29" s="12" t="s">
        <v>71</v>
      </c>
      <c r="B29" s="11">
        <v>1</v>
      </c>
      <c r="C29" s="11">
        <v>1</v>
      </c>
      <c r="D29" s="11">
        <v>1</v>
      </c>
      <c r="E29" s="11">
        <v>0</v>
      </c>
      <c r="F29" s="11">
        <v>0</v>
      </c>
      <c r="G29" s="11">
        <v>0</v>
      </c>
      <c r="H29" s="11">
        <v>0</v>
      </c>
      <c r="I29" s="9">
        <v>2</v>
      </c>
      <c r="J29" s="34">
        <v>0.5</v>
      </c>
    </row>
    <row r="30" spans="1:10" x14ac:dyDescent="0.3">
      <c r="A30" s="12" t="s">
        <v>53</v>
      </c>
      <c r="B30" s="11">
        <v>2</v>
      </c>
      <c r="C30" s="11">
        <v>2</v>
      </c>
      <c r="D30" s="11">
        <v>3</v>
      </c>
      <c r="E30" s="11">
        <v>0</v>
      </c>
      <c r="F30" s="11">
        <v>0</v>
      </c>
      <c r="G30" s="11">
        <v>0</v>
      </c>
      <c r="H30" s="11">
        <v>0</v>
      </c>
      <c r="I30" s="9">
        <v>5</v>
      </c>
      <c r="J30" s="34">
        <v>0.4</v>
      </c>
    </row>
    <row r="31" spans="1:10" x14ac:dyDescent="0.3">
      <c r="A31" s="12" t="s">
        <v>72</v>
      </c>
      <c r="B31" s="11">
        <v>1</v>
      </c>
      <c r="C31" s="11">
        <v>0</v>
      </c>
      <c r="D31" s="11">
        <v>1</v>
      </c>
      <c r="E31" s="11">
        <v>0</v>
      </c>
      <c r="F31" s="11">
        <v>0</v>
      </c>
      <c r="G31" s="11">
        <v>0</v>
      </c>
      <c r="H31" s="11">
        <v>0</v>
      </c>
      <c r="I31" s="9">
        <v>1</v>
      </c>
      <c r="J31" s="34">
        <v>0</v>
      </c>
    </row>
    <row r="32" spans="1:10" x14ac:dyDescent="0.3">
      <c r="A32" s="12" t="s">
        <v>73</v>
      </c>
      <c r="B32" s="11">
        <v>1</v>
      </c>
      <c r="C32" s="11">
        <v>1</v>
      </c>
      <c r="D32" s="11">
        <v>1</v>
      </c>
      <c r="E32" s="11">
        <v>0</v>
      </c>
      <c r="F32" s="11">
        <v>0</v>
      </c>
      <c r="G32" s="11">
        <v>0</v>
      </c>
      <c r="H32" s="11">
        <v>0</v>
      </c>
      <c r="I32" s="9">
        <v>2</v>
      </c>
      <c r="J32" s="34">
        <v>0.5</v>
      </c>
    </row>
    <row r="33" spans="1:10" x14ac:dyDescent="0.3">
      <c r="A33" s="12" t="s">
        <v>74</v>
      </c>
      <c r="B33" s="11">
        <v>1</v>
      </c>
      <c r="C33" s="11">
        <v>1</v>
      </c>
      <c r="D33" s="11">
        <v>2</v>
      </c>
      <c r="E33" s="11">
        <v>1</v>
      </c>
      <c r="F33" s="11">
        <v>0</v>
      </c>
      <c r="G33" s="11">
        <v>0</v>
      </c>
      <c r="H33" s="11">
        <v>0</v>
      </c>
      <c r="I33" s="9">
        <v>4</v>
      </c>
      <c r="J33" s="34">
        <v>0.25</v>
      </c>
    </row>
    <row r="34" spans="1:10" x14ac:dyDescent="0.3">
      <c r="A34" s="12" t="s">
        <v>75</v>
      </c>
      <c r="B34" s="11">
        <v>2</v>
      </c>
      <c r="C34" s="11">
        <v>2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9">
        <f>SUM(C34:H34)</f>
        <v>2</v>
      </c>
      <c r="J34" s="34">
        <f>IF(I34=0,0,C34/I34)</f>
        <v>1</v>
      </c>
    </row>
    <row r="35" spans="1:10" x14ac:dyDescent="0.3">
      <c r="A35" s="12" t="s">
        <v>76</v>
      </c>
      <c r="B35" s="11">
        <v>1</v>
      </c>
      <c r="C35" s="11">
        <v>1</v>
      </c>
      <c r="D35" s="11">
        <v>1</v>
      </c>
      <c r="E35" s="11">
        <v>0</v>
      </c>
      <c r="F35" s="11">
        <v>0</v>
      </c>
      <c r="G35" s="11">
        <v>1</v>
      </c>
      <c r="H35" s="11">
        <v>2</v>
      </c>
      <c r="I35" s="9">
        <v>5</v>
      </c>
      <c r="J35" s="34">
        <v>0.2</v>
      </c>
    </row>
    <row r="36" spans="1:10" x14ac:dyDescent="0.25">
      <c r="A36" t="s">
        <v>77</v>
      </c>
      <c r="B36">
        <v>2</v>
      </c>
      <c r="C36">
        <v>2</v>
      </c>
      <c r="D36">
        <v>2</v>
      </c>
      <c r="E36">
        <v>0</v>
      </c>
      <c r="F36">
        <v>0</v>
      </c>
      <c r="G36">
        <v>1</v>
      </c>
      <c r="H36">
        <v>2</v>
      </c>
      <c r="I36">
        <v>7</v>
      </c>
      <c r="J36" s="98">
        <f>IF(I36=0,0,C36/I36)</f>
        <v>0.2857142857142857</v>
      </c>
    </row>
    <row r="37" spans="1:10" x14ac:dyDescent="0.25">
      <c r="A37" t="s">
        <v>78</v>
      </c>
      <c r="B37">
        <v>1</v>
      </c>
      <c r="C37">
        <v>1</v>
      </c>
      <c r="D37">
        <v>2</v>
      </c>
      <c r="E37">
        <v>1</v>
      </c>
      <c r="F37">
        <v>0</v>
      </c>
      <c r="G37">
        <v>0</v>
      </c>
      <c r="H37">
        <v>0</v>
      </c>
      <c r="I37">
        <v>4</v>
      </c>
      <c r="J37" s="37">
        <v>0.25</v>
      </c>
    </row>
    <row r="38" spans="1:10" x14ac:dyDescent="0.25">
      <c r="A38" t="s">
        <v>79</v>
      </c>
      <c r="B38">
        <v>1</v>
      </c>
      <c r="C38">
        <v>1</v>
      </c>
      <c r="D38">
        <v>1</v>
      </c>
      <c r="E38">
        <v>0</v>
      </c>
      <c r="F38">
        <v>0</v>
      </c>
      <c r="G38">
        <v>0</v>
      </c>
      <c r="H38">
        <v>2</v>
      </c>
      <c r="I38">
        <v>4</v>
      </c>
      <c r="J38" s="37">
        <v>0.25</v>
      </c>
    </row>
    <row r="39" spans="1:10" x14ac:dyDescent="0.25">
      <c r="A39" t="s">
        <v>80</v>
      </c>
      <c r="B39">
        <v>1</v>
      </c>
      <c r="C39">
        <v>1</v>
      </c>
      <c r="D39">
        <v>2</v>
      </c>
      <c r="E39">
        <v>0</v>
      </c>
      <c r="F39">
        <v>0</v>
      </c>
      <c r="G39">
        <v>1</v>
      </c>
      <c r="H39">
        <v>0</v>
      </c>
      <c r="I39">
        <v>4</v>
      </c>
      <c r="J39" s="37">
        <v>0.25</v>
      </c>
    </row>
    <row r="40" spans="1:10" x14ac:dyDescent="0.25">
      <c r="A40" t="s">
        <v>81</v>
      </c>
      <c r="B40">
        <v>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 s="33">
        <v>1</v>
      </c>
    </row>
    <row r="41" spans="1:10" s="14" customFormat="1" ht="22.35" customHeight="1" x14ac:dyDescent="0.25">
      <c r="A41" s="39" t="s">
        <v>82</v>
      </c>
      <c r="B41">
        <v>1</v>
      </c>
      <c r="C41">
        <v>0</v>
      </c>
      <c r="D41">
        <v>0</v>
      </c>
      <c r="E41">
        <v>0</v>
      </c>
      <c r="F41">
        <v>2</v>
      </c>
      <c r="G41">
        <v>1</v>
      </c>
      <c r="H41">
        <v>0</v>
      </c>
      <c r="I41">
        <v>3</v>
      </c>
      <c r="J41" s="33">
        <f>IF(I41=0,0,C41/I41)</f>
        <v>0</v>
      </c>
    </row>
    <row r="42" spans="1:10" x14ac:dyDescent="0.25">
      <c r="A42" t="s">
        <v>228</v>
      </c>
      <c r="B42">
        <v>1</v>
      </c>
      <c r="C42">
        <v>1</v>
      </c>
      <c r="D42">
        <v>2</v>
      </c>
      <c r="E42">
        <v>0</v>
      </c>
      <c r="F42">
        <v>0</v>
      </c>
      <c r="G42">
        <v>1</v>
      </c>
      <c r="H42">
        <v>0</v>
      </c>
      <c r="I42">
        <f>SUM(C42:H42)</f>
        <v>4</v>
      </c>
      <c r="J42">
        <f>IF(I42=0,0,C42/I42)</f>
        <v>0.25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zoomScaleNormal="60" zoomScaleSheetLayoutView="100" workbookViewId="0"/>
  </sheetViews>
  <sheetFormatPr defaultRowHeight="16.5" x14ac:dyDescent="0.25"/>
  <cols>
    <col min="1" max="1" width="9.16015625" style="14" customWidth="1"/>
    <col min="2" max="2" width="27.23046875" style="14" customWidth="1"/>
    <col min="3" max="3" width="8.5390625" style="14" customWidth="1"/>
    <col min="4" max="4" width="18.1953125" style="14" customWidth="1"/>
    <col min="5" max="6" width="8.16796875" style="14" customWidth="1"/>
    <col min="7" max="8" width="4.82421875" style="14" customWidth="1"/>
    <col min="9" max="9" width="16.83203125" style="14" customWidth="1"/>
  </cols>
  <sheetData>
    <row r="1" spans="1:9" s="14" customFormat="1" ht="20.100000000000001" customHeight="1" x14ac:dyDescent="0.25">
      <c r="A1" s="154" t="s">
        <v>83</v>
      </c>
      <c r="B1" s="149"/>
      <c r="C1" s="149"/>
      <c r="D1" s="149"/>
      <c r="E1" s="149"/>
      <c r="F1" s="149"/>
      <c r="G1" s="149"/>
      <c r="H1" s="149"/>
      <c r="I1" s="149"/>
    </row>
    <row r="2" spans="1:9" x14ac:dyDescent="0.25">
      <c r="A2" s="156" t="s">
        <v>84</v>
      </c>
      <c r="B2" s="149"/>
      <c r="C2" s="149"/>
      <c r="D2" s="149"/>
      <c r="E2" s="149"/>
      <c r="F2" s="149"/>
      <c r="G2" s="149"/>
      <c r="H2" s="149"/>
      <c r="I2" s="149"/>
    </row>
    <row r="4" spans="1:9" s="14" customFormat="1" ht="15.4" customHeight="1" x14ac:dyDescent="0.25">
      <c r="A4" s="155" t="s">
        <v>85</v>
      </c>
      <c r="B4" s="149"/>
      <c r="C4" s="149"/>
      <c r="D4" s="149"/>
      <c r="E4" s="149"/>
      <c r="F4" s="149"/>
      <c r="G4" s="149"/>
      <c r="H4" s="149"/>
      <c r="I4" s="149"/>
    </row>
    <row r="5" spans="1:9" x14ac:dyDescent="0.25">
      <c r="A5" s="15" t="s">
        <v>86</v>
      </c>
      <c r="B5" s="15" t="s">
        <v>87</v>
      </c>
      <c r="C5" s="15" t="s">
        <v>88</v>
      </c>
      <c r="D5" s="15" t="s">
        <v>89</v>
      </c>
      <c r="E5" s="15" t="s">
        <v>90</v>
      </c>
      <c r="F5" s="15" t="s">
        <v>7</v>
      </c>
    </row>
    <row r="6" spans="1:9" x14ac:dyDescent="0.25">
      <c r="A6" s="16">
        <f t="shared" ref="A6:F6" si="0">SUM(C11:C20)</f>
        <v>130</v>
      </c>
      <c r="B6" s="16">
        <f t="shared" si="0"/>
        <v>47</v>
      </c>
      <c r="C6" s="16">
        <f t="shared" si="0"/>
        <v>56</v>
      </c>
      <c r="D6" s="16">
        <f t="shared" si="0"/>
        <v>2</v>
      </c>
      <c r="E6" s="16">
        <f t="shared" si="0"/>
        <v>12</v>
      </c>
      <c r="F6" s="16">
        <f t="shared" si="0"/>
        <v>13</v>
      </c>
    </row>
    <row r="7" spans="1:9" x14ac:dyDescent="0.25">
      <c r="A7" s="17" t="s">
        <v>91</v>
      </c>
      <c r="B7" s="35">
        <f>B6/A6</f>
        <v>0.36153846153846153</v>
      </c>
      <c r="C7" s="35">
        <f>C6/A6</f>
        <v>0.43076923076923079</v>
      </c>
      <c r="D7" s="35">
        <f>D6/A6</f>
        <v>1.5384615384615385E-2</v>
      </c>
      <c r="E7" s="35">
        <f>E6/A6</f>
        <v>9.2307692307692313E-2</v>
      </c>
      <c r="F7" s="35">
        <f>F6/A6</f>
        <v>0.1</v>
      </c>
    </row>
    <row r="9" spans="1:9" s="14" customFormat="1" ht="15.4" customHeight="1" x14ac:dyDescent="0.25">
      <c r="A9" s="155" t="s">
        <v>92</v>
      </c>
      <c r="B9" s="149"/>
      <c r="C9" s="149"/>
      <c r="D9" s="149"/>
      <c r="E9" s="149"/>
      <c r="F9" s="149"/>
      <c r="G9" s="149"/>
      <c r="H9" s="149"/>
      <c r="I9" s="149"/>
    </row>
    <row r="10" spans="1:9" s="14" customFormat="1" ht="37.5" customHeight="1" x14ac:dyDescent="0.25">
      <c r="A10" s="18" t="s">
        <v>93</v>
      </c>
      <c r="B10" s="18" t="s">
        <v>14</v>
      </c>
      <c r="C10" s="18" t="s">
        <v>94</v>
      </c>
      <c r="D10" s="18" t="s">
        <v>87</v>
      </c>
      <c r="E10" s="18" t="s">
        <v>88</v>
      </c>
      <c r="F10" s="18" t="s">
        <v>95</v>
      </c>
      <c r="G10" s="18" t="s">
        <v>90</v>
      </c>
      <c r="H10" s="18" t="s">
        <v>7</v>
      </c>
      <c r="I10" s="18" t="s">
        <v>96</v>
      </c>
    </row>
    <row r="11" spans="1:9" x14ac:dyDescent="0.25">
      <c r="A11" s="19">
        <v>1</v>
      </c>
      <c r="B11" s="20" t="s">
        <v>97</v>
      </c>
      <c r="C11" s="21">
        <v>36</v>
      </c>
      <c r="D11" s="22">
        <v>12</v>
      </c>
      <c r="E11" s="22">
        <v>17</v>
      </c>
      <c r="F11" s="22">
        <v>0</v>
      </c>
      <c r="G11" s="22">
        <v>2</v>
      </c>
      <c r="H11" s="22">
        <v>5</v>
      </c>
      <c r="I11" s="23" t="s">
        <v>98</v>
      </c>
    </row>
    <row r="12" spans="1:9" x14ac:dyDescent="0.25">
      <c r="A12" s="24">
        <v>2</v>
      </c>
      <c r="B12" s="25" t="s">
        <v>99</v>
      </c>
      <c r="C12" s="26">
        <v>34</v>
      </c>
      <c r="D12" s="27">
        <v>11</v>
      </c>
      <c r="E12" s="27">
        <v>11</v>
      </c>
      <c r="F12" s="27">
        <v>2</v>
      </c>
      <c r="G12" s="27">
        <v>2</v>
      </c>
      <c r="H12" s="27">
        <v>8</v>
      </c>
      <c r="I12" s="28" t="s">
        <v>100</v>
      </c>
    </row>
    <row r="13" spans="1:9" x14ac:dyDescent="0.25">
      <c r="A13" s="19">
        <v>3</v>
      </c>
      <c r="B13" s="20" t="s">
        <v>101</v>
      </c>
      <c r="C13" s="21">
        <v>10</v>
      </c>
      <c r="D13" s="22">
        <v>4</v>
      </c>
      <c r="E13" s="22">
        <v>5</v>
      </c>
      <c r="F13" s="22">
        <v>0</v>
      </c>
      <c r="G13" s="22">
        <v>1</v>
      </c>
      <c r="H13" s="22">
        <v>0</v>
      </c>
      <c r="I13" s="23" t="s">
        <v>102</v>
      </c>
    </row>
    <row r="14" spans="1:9" x14ac:dyDescent="0.25">
      <c r="A14" s="24">
        <v>4</v>
      </c>
      <c r="B14" s="25" t="s">
        <v>103</v>
      </c>
      <c r="C14" s="26">
        <v>14</v>
      </c>
      <c r="D14" s="27">
        <v>5</v>
      </c>
      <c r="E14" s="27">
        <v>6</v>
      </c>
      <c r="F14" s="27">
        <v>0</v>
      </c>
      <c r="G14" s="27">
        <v>3</v>
      </c>
      <c r="H14" s="27">
        <v>0</v>
      </c>
      <c r="I14" s="28" t="s">
        <v>104</v>
      </c>
    </row>
    <row r="15" spans="1:9" x14ac:dyDescent="0.25">
      <c r="A15" s="19">
        <v>5</v>
      </c>
      <c r="B15" s="20" t="s">
        <v>105</v>
      </c>
      <c r="C15" s="21">
        <v>5</v>
      </c>
      <c r="D15" s="22">
        <v>2</v>
      </c>
      <c r="E15" s="22">
        <v>2</v>
      </c>
      <c r="F15" s="22">
        <v>0</v>
      </c>
      <c r="G15" s="22">
        <v>1</v>
      </c>
      <c r="H15" s="22">
        <v>0</v>
      </c>
      <c r="I15" s="28" t="s">
        <v>104</v>
      </c>
    </row>
    <row r="16" spans="1:9" x14ac:dyDescent="0.25">
      <c r="A16" s="24">
        <v>6</v>
      </c>
      <c r="B16" s="25" t="s">
        <v>106</v>
      </c>
      <c r="C16" s="26">
        <v>3</v>
      </c>
      <c r="D16" s="27">
        <v>2</v>
      </c>
      <c r="E16" s="27">
        <v>1</v>
      </c>
      <c r="F16" s="27">
        <v>0</v>
      </c>
      <c r="G16" s="27">
        <v>0</v>
      </c>
      <c r="H16" s="27">
        <v>0</v>
      </c>
      <c r="I16" s="28" t="s">
        <v>107</v>
      </c>
    </row>
    <row r="17" spans="1:9" x14ac:dyDescent="0.25">
      <c r="A17" s="19">
        <v>7</v>
      </c>
      <c r="B17" s="20" t="s">
        <v>108</v>
      </c>
      <c r="C17" s="21">
        <v>15</v>
      </c>
      <c r="D17" s="22">
        <v>6</v>
      </c>
      <c r="E17" s="22">
        <v>7</v>
      </c>
      <c r="F17" s="22">
        <v>0</v>
      </c>
      <c r="G17" s="22">
        <v>2</v>
      </c>
      <c r="H17" s="22">
        <v>0</v>
      </c>
      <c r="I17" s="23" t="s">
        <v>109</v>
      </c>
    </row>
    <row r="18" spans="1:9" x14ac:dyDescent="0.25">
      <c r="A18" s="24">
        <v>8</v>
      </c>
      <c r="B18" s="25" t="s">
        <v>110</v>
      </c>
      <c r="C18" s="26">
        <v>5</v>
      </c>
      <c r="D18" s="27">
        <v>2</v>
      </c>
      <c r="E18" s="27">
        <v>3</v>
      </c>
      <c r="F18" s="27">
        <v>0</v>
      </c>
      <c r="G18" s="27">
        <v>0</v>
      </c>
      <c r="H18" s="27">
        <v>0</v>
      </c>
      <c r="I18" s="28" t="s">
        <v>111</v>
      </c>
    </row>
    <row r="19" spans="1:9" x14ac:dyDescent="0.25">
      <c r="A19" s="19">
        <v>9</v>
      </c>
      <c r="B19" s="20" t="s">
        <v>112</v>
      </c>
      <c r="C19" s="21">
        <v>2</v>
      </c>
      <c r="D19" s="22">
        <v>1</v>
      </c>
      <c r="E19" s="22">
        <v>1</v>
      </c>
      <c r="F19" s="22">
        <v>0</v>
      </c>
      <c r="G19" s="22">
        <v>0</v>
      </c>
      <c r="H19" s="22">
        <v>0</v>
      </c>
      <c r="I19" s="23" t="s">
        <v>113</v>
      </c>
    </row>
    <row r="20" spans="1:9" s="14" customFormat="1" ht="14.45" customHeight="1" x14ac:dyDescent="0.25">
      <c r="A20" s="24">
        <v>10</v>
      </c>
      <c r="B20" s="25" t="s">
        <v>114</v>
      </c>
      <c r="C20" s="26">
        <v>6</v>
      </c>
      <c r="D20" s="27">
        <v>2</v>
      </c>
      <c r="E20" s="27">
        <v>3</v>
      </c>
      <c r="F20" s="27">
        <v>0</v>
      </c>
      <c r="G20" s="27">
        <v>1</v>
      </c>
      <c r="H20" s="27">
        <v>0</v>
      </c>
      <c r="I20" s="28" t="s">
        <v>104</v>
      </c>
    </row>
    <row r="21" spans="1:9" s="14" customFormat="1" ht="14.45" customHeight="1" x14ac:dyDescent="0.25">
      <c r="A21" s="29"/>
      <c r="B21" s="30" t="s">
        <v>115</v>
      </c>
      <c r="C21" s="31">
        <f t="shared" ref="C21:H21" si="1">SUM(C11:C20)</f>
        <v>130</v>
      </c>
      <c r="D21" s="31">
        <f t="shared" si="1"/>
        <v>47</v>
      </c>
      <c r="E21" s="31">
        <f t="shared" si="1"/>
        <v>56</v>
      </c>
      <c r="F21" s="31">
        <f t="shared" si="1"/>
        <v>2</v>
      </c>
      <c r="G21" s="31">
        <f t="shared" si="1"/>
        <v>12</v>
      </c>
      <c r="H21" s="31">
        <f t="shared" si="1"/>
        <v>13</v>
      </c>
      <c r="I21" s="29"/>
    </row>
    <row r="22" spans="1:9" s="14" customFormat="1" ht="14.45" customHeight="1" x14ac:dyDescent="0.25"/>
  </sheetData>
  <mergeCells count="4">
    <mergeCell ref="A1:I1"/>
    <mergeCell ref="A4:I4"/>
    <mergeCell ref="A2:I2"/>
    <mergeCell ref="A9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3"/>
  <sheetViews>
    <sheetView zoomScaleNormal="60" zoomScaleSheetLayoutView="100" workbookViewId="0"/>
  </sheetViews>
  <sheetFormatPr defaultRowHeight="16.5" x14ac:dyDescent="0.25"/>
  <cols>
    <col min="1" max="1" width="20.17578125" style="14" customWidth="1"/>
    <col min="2" max="2" width="30.203125" style="14" customWidth="1"/>
    <col min="3" max="3" width="40.10546875" style="14" customWidth="1"/>
    <col min="4" max="4" width="7.55078125" style="14" customWidth="1"/>
    <col min="5" max="6" width="6.43359375" style="14" customWidth="1"/>
    <col min="7" max="7" width="13.73828125" style="14" customWidth="1"/>
    <col min="8" max="9" width="6.43359375" style="14" customWidth="1"/>
    <col min="10" max="10" width="16.83203125" style="14" customWidth="1"/>
  </cols>
  <sheetData>
    <row r="1" spans="1:10" s="14" customFormat="1" ht="15.4" customHeight="1" x14ac:dyDescent="0.25">
      <c r="A1" s="157" t="s">
        <v>116</v>
      </c>
      <c r="B1" s="158"/>
      <c r="C1" s="158"/>
      <c r="D1" s="158"/>
      <c r="E1" s="158"/>
      <c r="F1" s="158"/>
      <c r="G1" s="158"/>
      <c r="H1" s="158"/>
      <c r="I1" s="158"/>
      <c r="J1" s="158"/>
    </row>
    <row r="2" spans="1:10" x14ac:dyDescent="0.35">
      <c r="A2" s="40" t="s">
        <v>117</v>
      </c>
      <c r="B2" s="40" t="s">
        <v>118</v>
      </c>
      <c r="C2" s="40" t="s">
        <v>14</v>
      </c>
      <c r="D2" s="40" t="s">
        <v>17</v>
      </c>
      <c r="E2" s="40" t="s">
        <v>2</v>
      </c>
      <c r="F2" s="40" t="s">
        <v>3</v>
      </c>
      <c r="G2" s="40" t="s">
        <v>119</v>
      </c>
      <c r="H2" s="40" t="s">
        <v>6</v>
      </c>
      <c r="I2" s="40" t="s">
        <v>7</v>
      </c>
      <c r="J2" s="40" t="s">
        <v>18</v>
      </c>
    </row>
    <row r="3" spans="1:10" x14ac:dyDescent="0.25">
      <c r="A3" s="41"/>
      <c r="B3" s="42"/>
      <c r="C3" s="43"/>
      <c r="D3" s="42"/>
      <c r="E3" s="42"/>
      <c r="F3" s="42"/>
      <c r="G3" s="42"/>
      <c r="H3" s="42"/>
      <c r="I3" s="42"/>
      <c r="J3" s="44"/>
    </row>
    <row r="4" spans="1:10" ht="17.25" x14ac:dyDescent="0.3">
      <c r="A4" s="42" t="s">
        <v>31</v>
      </c>
      <c r="B4" s="41" t="s">
        <v>120</v>
      </c>
      <c r="C4" s="43" t="s">
        <v>121</v>
      </c>
      <c r="D4" s="42">
        <v>5</v>
      </c>
      <c r="E4" s="42">
        <v>1</v>
      </c>
      <c r="F4" s="42">
        <v>3</v>
      </c>
      <c r="G4" s="42">
        <v>0</v>
      </c>
      <c r="H4" s="42">
        <v>1</v>
      </c>
      <c r="I4" s="42">
        <v>0</v>
      </c>
      <c r="J4" s="44"/>
    </row>
    <row r="5" spans="1:10" x14ac:dyDescent="0.25">
      <c r="A5" s="42"/>
      <c r="B5" s="41"/>
      <c r="C5" s="43"/>
      <c r="D5" s="42"/>
      <c r="E5" s="42"/>
      <c r="F5" s="42"/>
      <c r="G5" s="42"/>
      <c r="H5" s="42"/>
      <c r="I5" s="42"/>
      <c r="J5" s="44"/>
    </row>
    <row r="6" spans="1:10" x14ac:dyDescent="0.25">
      <c r="A6" s="42"/>
      <c r="B6" s="42"/>
      <c r="C6" s="43"/>
      <c r="D6" s="42"/>
      <c r="E6" s="42"/>
      <c r="F6" s="42"/>
      <c r="G6" s="42"/>
      <c r="H6" s="42"/>
      <c r="I6" s="42"/>
      <c r="J6" s="44"/>
    </row>
    <row r="7" spans="1:10" x14ac:dyDescent="0.25">
      <c r="A7" s="41"/>
      <c r="B7" s="42"/>
      <c r="C7" s="43"/>
      <c r="D7" s="42"/>
      <c r="E7" s="42"/>
      <c r="F7" s="42"/>
      <c r="G7" s="42"/>
      <c r="H7" s="42"/>
      <c r="I7" s="42"/>
      <c r="J7" s="44"/>
    </row>
    <row r="8" spans="1:10" ht="18.75" x14ac:dyDescent="0.25">
      <c r="A8" s="160" t="s">
        <v>8</v>
      </c>
      <c r="B8" s="158"/>
      <c r="C8" s="158"/>
      <c r="D8" s="45">
        <f t="shared" ref="D8:I8" si="0">SUM(D3:D7)</f>
        <v>5</v>
      </c>
      <c r="E8" s="45">
        <f t="shared" si="0"/>
        <v>1</v>
      </c>
      <c r="F8" s="45">
        <f t="shared" si="0"/>
        <v>3</v>
      </c>
      <c r="G8" s="45">
        <f t="shared" si="0"/>
        <v>0</v>
      </c>
      <c r="H8" s="45">
        <f t="shared" si="0"/>
        <v>1</v>
      </c>
      <c r="I8" s="45">
        <f t="shared" si="0"/>
        <v>0</v>
      </c>
      <c r="J8" s="46"/>
    </row>
    <row r="9" spans="1:10" x14ac:dyDescent="0.25">
      <c r="A9" s="159" t="s">
        <v>122</v>
      </c>
      <c r="B9" s="158"/>
      <c r="C9" s="158"/>
      <c r="D9" s="47">
        <f t="shared" ref="D9:I9" si="1">IF($D$8=0,0,D8/$D$8)</f>
        <v>1</v>
      </c>
      <c r="E9" s="47">
        <f t="shared" si="1"/>
        <v>0.2</v>
      </c>
      <c r="F9" s="47">
        <f t="shared" si="1"/>
        <v>0.6</v>
      </c>
      <c r="G9" s="47">
        <f t="shared" si="1"/>
        <v>0</v>
      </c>
      <c r="H9" s="47">
        <f t="shared" si="1"/>
        <v>0.2</v>
      </c>
      <c r="I9" s="47">
        <f t="shared" si="1"/>
        <v>0</v>
      </c>
      <c r="J9" s="48"/>
    </row>
    <row r="10" spans="1:10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s="14" customFormat="1" ht="15.4" customHeight="1" x14ac:dyDescent="0.25">
      <c r="A11" s="157" t="s">
        <v>123</v>
      </c>
      <c r="B11" s="158"/>
      <c r="C11" s="158"/>
      <c r="D11" s="158"/>
      <c r="E11" s="158"/>
      <c r="F11" s="158"/>
      <c r="G11" s="158"/>
      <c r="H11" s="158"/>
      <c r="I11" s="158"/>
      <c r="J11" s="158"/>
    </row>
    <row r="12" spans="1:10" x14ac:dyDescent="0.35">
      <c r="A12" s="40" t="s">
        <v>117</v>
      </c>
      <c r="B12" s="40" t="s">
        <v>118</v>
      </c>
      <c r="C12" s="40" t="s">
        <v>14</v>
      </c>
      <c r="D12" s="40" t="s">
        <v>17</v>
      </c>
      <c r="E12" s="40" t="s">
        <v>2</v>
      </c>
      <c r="F12" s="40" t="s">
        <v>3</v>
      </c>
      <c r="G12" s="40" t="s">
        <v>119</v>
      </c>
      <c r="H12" s="40" t="s">
        <v>6</v>
      </c>
      <c r="I12" s="40" t="s">
        <v>7</v>
      </c>
      <c r="J12" s="40" t="s">
        <v>18</v>
      </c>
    </row>
    <row r="13" spans="1:10" ht="17.25" x14ac:dyDescent="0.3">
      <c r="A13" s="41" t="s">
        <v>60</v>
      </c>
      <c r="B13" s="41" t="s">
        <v>124</v>
      </c>
      <c r="C13" s="43" t="s">
        <v>125</v>
      </c>
      <c r="D13" s="42">
        <v>4</v>
      </c>
      <c r="E13" s="42">
        <v>2</v>
      </c>
      <c r="F13" s="42">
        <v>2</v>
      </c>
      <c r="G13" s="42">
        <v>0</v>
      </c>
      <c r="H13" s="42">
        <v>0</v>
      </c>
      <c r="I13" s="42">
        <v>0</v>
      </c>
      <c r="J13" s="44"/>
    </row>
    <row r="14" spans="1:10" ht="17.25" x14ac:dyDescent="0.3">
      <c r="A14" s="41" t="s">
        <v>29</v>
      </c>
      <c r="B14" s="42" t="s">
        <v>126</v>
      </c>
      <c r="C14" s="43" t="s">
        <v>127</v>
      </c>
      <c r="D14" s="42">
        <v>8</v>
      </c>
      <c r="E14" s="42">
        <v>2</v>
      </c>
      <c r="F14" s="42">
        <v>4</v>
      </c>
      <c r="G14" s="42">
        <v>0</v>
      </c>
      <c r="H14" s="42">
        <v>2</v>
      </c>
      <c r="I14" s="42">
        <v>0</v>
      </c>
      <c r="J14" s="44"/>
    </row>
    <row r="15" spans="1:10" ht="17.25" x14ac:dyDescent="0.3">
      <c r="A15" s="42" t="s">
        <v>31</v>
      </c>
      <c r="B15" s="42" t="s">
        <v>128</v>
      </c>
      <c r="C15" s="43" t="s">
        <v>129</v>
      </c>
      <c r="D15" s="42">
        <v>6</v>
      </c>
      <c r="E15" s="42">
        <v>2</v>
      </c>
      <c r="F15" s="42">
        <v>2</v>
      </c>
      <c r="G15" s="42">
        <v>1</v>
      </c>
      <c r="H15" s="42">
        <v>1</v>
      </c>
      <c r="I15" s="42">
        <v>0</v>
      </c>
      <c r="J15" s="44"/>
    </row>
    <row r="16" spans="1:10" ht="18.75" x14ac:dyDescent="0.25">
      <c r="A16" s="160" t="s">
        <v>8</v>
      </c>
      <c r="B16" s="158"/>
      <c r="C16" s="158"/>
      <c r="D16" s="45">
        <f t="shared" ref="D16:I16" si="2">SUM(D13:D15)</f>
        <v>18</v>
      </c>
      <c r="E16" s="45">
        <f t="shared" si="2"/>
        <v>6</v>
      </c>
      <c r="F16" s="45">
        <f t="shared" si="2"/>
        <v>8</v>
      </c>
      <c r="G16" s="45">
        <f t="shared" si="2"/>
        <v>1</v>
      </c>
      <c r="H16" s="45">
        <f t="shared" si="2"/>
        <v>3</v>
      </c>
      <c r="I16" s="45">
        <f t="shared" si="2"/>
        <v>0</v>
      </c>
      <c r="J16" s="46"/>
    </row>
    <row r="17" spans="1:10" x14ac:dyDescent="0.25">
      <c r="A17" s="159" t="s">
        <v>122</v>
      </c>
      <c r="B17" s="158"/>
      <c r="C17" s="158"/>
      <c r="D17" s="47">
        <f t="shared" ref="D17:I17" si="3">IF($D$16=0,0,D16/$D$16)</f>
        <v>1</v>
      </c>
      <c r="E17" s="47">
        <f t="shared" si="3"/>
        <v>0.33333333333333331</v>
      </c>
      <c r="F17" s="47">
        <f t="shared" si="3"/>
        <v>0.44444444444444442</v>
      </c>
      <c r="G17" s="47">
        <f t="shared" si="3"/>
        <v>5.5555555555555552E-2</v>
      </c>
      <c r="H17" s="47">
        <f t="shared" si="3"/>
        <v>0.16666666666666666</v>
      </c>
      <c r="I17" s="47">
        <f t="shared" si="3"/>
        <v>0</v>
      </c>
      <c r="J17" s="48"/>
    </row>
    <row r="18" spans="1:10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s="14" customFormat="1" ht="15.4" customHeight="1" x14ac:dyDescent="0.25">
      <c r="A19" s="157" t="s">
        <v>130</v>
      </c>
      <c r="B19" s="158"/>
      <c r="C19" s="158"/>
      <c r="D19" s="158"/>
      <c r="E19" s="158"/>
      <c r="F19" s="158"/>
      <c r="G19" s="158"/>
      <c r="H19" s="158"/>
      <c r="I19" s="158"/>
      <c r="J19" s="158"/>
    </row>
    <row r="20" spans="1:10" x14ac:dyDescent="0.35">
      <c r="A20" s="40" t="s">
        <v>117</v>
      </c>
      <c r="B20" s="40" t="s">
        <v>118</v>
      </c>
      <c r="C20" s="40" t="s">
        <v>14</v>
      </c>
      <c r="D20" s="40" t="s">
        <v>17</v>
      </c>
      <c r="E20" s="40" t="s">
        <v>2</v>
      </c>
      <c r="F20" s="40" t="s">
        <v>3</v>
      </c>
      <c r="G20" s="40" t="s">
        <v>119</v>
      </c>
      <c r="H20" s="40" t="s">
        <v>6</v>
      </c>
      <c r="I20" s="40" t="s">
        <v>7</v>
      </c>
      <c r="J20" s="40" t="s">
        <v>18</v>
      </c>
    </row>
    <row r="21" spans="1:10" ht="17.25" x14ac:dyDescent="0.3">
      <c r="A21" s="42" t="s">
        <v>37</v>
      </c>
      <c r="B21" s="42" t="s">
        <v>131</v>
      </c>
      <c r="C21" s="43" t="s">
        <v>132</v>
      </c>
      <c r="D21" s="42">
        <v>6</v>
      </c>
      <c r="E21" s="42">
        <v>2</v>
      </c>
      <c r="F21" s="42">
        <v>3</v>
      </c>
      <c r="G21" s="42">
        <v>0</v>
      </c>
      <c r="H21" s="42">
        <v>1</v>
      </c>
      <c r="I21" s="42">
        <v>0</v>
      </c>
      <c r="J21" s="44"/>
    </row>
    <row r="22" spans="1:10" ht="17.25" x14ac:dyDescent="0.3">
      <c r="A22" s="42" t="s">
        <v>62</v>
      </c>
      <c r="B22" s="41" t="s">
        <v>133</v>
      </c>
      <c r="C22" s="43" t="s">
        <v>134</v>
      </c>
      <c r="D22" s="42">
        <v>6</v>
      </c>
      <c r="E22" s="42">
        <v>2</v>
      </c>
      <c r="F22" s="42">
        <v>3</v>
      </c>
      <c r="G22" s="42">
        <v>0</v>
      </c>
      <c r="H22" s="42">
        <v>1</v>
      </c>
      <c r="I22" s="42">
        <v>0</v>
      </c>
      <c r="J22" s="44"/>
    </row>
    <row r="23" spans="1:10" ht="17.25" x14ac:dyDescent="0.3">
      <c r="A23" s="42" t="s">
        <v>43</v>
      </c>
      <c r="B23" s="41" t="s">
        <v>135</v>
      </c>
      <c r="C23" s="43" t="s">
        <v>136</v>
      </c>
      <c r="D23" s="42">
        <v>7</v>
      </c>
      <c r="E23" s="42">
        <v>2</v>
      </c>
      <c r="F23" s="42">
        <v>3</v>
      </c>
      <c r="G23" s="42">
        <v>1</v>
      </c>
      <c r="H23" s="42">
        <v>1</v>
      </c>
      <c r="I23" s="42">
        <v>0</v>
      </c>
      <c r="J23" s="44"/>
    </row>
    <row r="24" spans="1:10" ht="17.25" x14ac:dyDescent="0.3">
      <c r="A24" s="42" t="s">
        <v>137</v>
      </c>
      <c r="B24" s="41" t="s">
        <v>138</v>
      </c>
      <c r="C24" s="43" t="s">
        <v>139</v>
      </c>
      <c r="D24" s="42">
        <v>3</v>
      </c>
      <c r="E24" s="42">
        <v>1</v>
      </c>
      <c r="F24" s="42">
        <v>1</v>
      </c>
      <c r="G24" s="42">
        <v>1</v>
      </c>
      <c r="H24" s="42">
        <v>0</v>
      </c>
      <c r="I24" s="42">
        <v>0</v>
      </c>
      <c r="J24" s="44"/>
    </row>
    <row r="25" spans="1:10" ht="17.25" x14ac:dyDescent="0.3">
      <c r="A25" s="42" t="s">
        <v>45</v>
      </c>
      <c r="B25" s="41" t="s">
        <v>140</v>
      </c>
      <c r="C25" s="43" t="s">
        <v>141</v>
      </c>
      <c r="D25" s="42">
        <v>4</v>
      </c>
      <c r="E25" s="42">
        <v>1</v>
      </c>
      <c r="F25" s="42">
        <v>2</v>
      </c>
      <c r="G25" s="42">
        <v>0</v>
      </c>
      <c r="H25" s="42">
        <v>1</v>
      </c>
      <c r="I25" s="42">
        <v>0</v>
      </c>
      <c r="J25" s="44"/>
    </row>
    <row r="26" spans="1:10" ht="17.25" x14ac:dyDescent="0.3">
      <c r="A26" s="41" t="s">
        <v>21</v>
      </c>
      <c r="B26" s="41" t="s">
        <v>142</v>
      </c>
      <c r="C26" s="43" t="s">
        <v>143</v>
      </c>
      <c r="D26" s="42">
        <v>2</v>
      </c>
      <c r="E26" s="42">
        <v>1</v>
      </c>
      <c r="F26" s="42">
        <v>1</v>
      </c>
      <c r="G26" s="42">
        <v>0</v>
      </c>
      <c r="H26" s="42">
        <v>0</v>
      </c>
      <c r="I26" s="42">
        <v>0</v>
      </c>
      <c r="J26" s="44"/>
    </row>
    <row r="27" spans="1:10" ht="18.75" x14ac:dyDescent="0.25">
      <c r="A27" s="160" t="s">
        <v>8</v>
      </c>
      <c r="B27" s="158"/>
      <c r="C27" s="158"/>
      <c r="D27" s="45">
        <f t="shared" ref="D27:I27" si="4">SUM(D21:D26)</f>
        <v>28</v>
      </c>
      <c r="E27" s="45">
        <f t="shared" si="4"/>
        <v>9</v>
      </c>
      <c r="F27" s="45">
        <f t="shared" si="4"/>
        <v>13</v>
      </c>
      <c r="G27" s="45">
        <f t="shared" si="4"/>
        <v>2</v>
      </c>
      <c r="H27" s="45">
        <f t="shared" si="4"/>
        <v>4</v>
      </c>
      <c r="I27" s="45">
        <f t="shared" si="4"/>
        <v>0</v>
      </c>
      <c r="J27" s="46"/>
    </row>
    <row r="28" spans="1:10" x14ac:dyDescent="0.25">
      <c r="A28" s="159" t="s">
        <v>122</v>
      </c>
      <c r="B28" s="158"/>
      <c r="C28" s="158"/>
      <c r="D28" s="47">
        <f t="shared" ref="D28:I28" si="5">IF($D$27=0,0,D27/$D$27)</f>
        <v>1</v>
      </c>
      <c r="E28" s="47">
        <f t="shared" si="5"/>
        <v>0.32142857142857145</v>
      </c>
      <c r="F28" s="47">
        <f t="shared" si="5"/>
        <v>0.4642857142857143</v>
      </c>
      <c r="G28" s="47">
        <f t="shared" si="5"/>
        <v>7.1428571428571425E-2</v>
      </c>
      <c r="H28" s="47">
        <f t="shared" si="5"/>
        <v>0.14285714285714285</v>
      </c>
      <c r="I28" s="47">
        <f t="shared" si="5"/>
        <v>0</v>
      </c>
      <c r="J28" s="48"/>
    </row>
    <row r="29" spans="1:10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s="14" customFormat="1" ht="15.4" customHeight="1" x14ac:dyDescent="0.25">
      <c r="A30" s="157" t="s">
        <v>144</v>
      </c>
      <c r="B30" s="158"/>
      <c r="C30" s="158"/>
      <c r="D30" s="158"/>
      <c r="E30" s="158"/>
      <c r="F30" s="158"/>
      <c r="G30" s="158"/>
      <c r="H30" s="158"/>
      <c r="I30" s="158"/>
      <c r="J30" s="158"/>
    </row>
    <row r="31" spans="1:10" x14ac:dyDescent="0.35">
      <c r="A31" s="40" t="s">
        <v>117</v>
      </c>
      <c r="B31" s="40" t="s">
        <v>118</v>
      </c>
      <c r="C31" s="40" t="s">
        <v>14</v>
      </c>
      <c r="D31" s="40" t="s">
        <v>17</v>
      </c>
      <c r="E31" s="40" t="s">
        <v>2</v>
      </c>
      <c r="F31" s="40" t="s">
        <v>3</v>
      </c>
      <c r="G31" s="40" t="s">
        <v>119</v>
      </c>
      <c r="H31" s="40" t="s">
        <v>6</v>
      </c>
      <c r="I31" s="40" t="s">
        <v>7</v>
      </c>
      <c r="J31" s="40" t="s">
        <v>18</v>
      </c>
    </row>
    <row r="32" spans="1:10" ht="17.25" x14ac:dyDescent="0.3">
      <c r="A32" s="42" t="s">
        <v>39</v>
      </c>
      <c r="B32" s="42" t="s">
        <v>128</v>
      </c>
      <c r="C32" s="43" t="s">
        <v>145</v>
      </c>
      <c r="D32" s="42">
        <v>4</v>
      </c>
      <c r="E32" s="42">
        <v>1</v>
      </c>
      <c r="F32" s="42">
        <v>2</v>
      </c>
      <c r="G32" s="42">
        <v>1</v>
      </c>
      <c r="H32" s="42">
        <v>0</v>
      </c>
      <c r="I32" s="42">
        <v>0</v>
      </c>
      <c r="J32" s="44"/>
    </row>
    <row r="33" spans="1:10" ht="17.25" x14ac:dyDescent="0.3">
      <c r="A33" s="42" t="s">
        <v>33</v>
      </c>
      <c r="B33" s="42" t="s">
        <v>128</v>
      </c>
      <c r="C33" s="43" t="s">
        <v>129</v>
      </c>
      <c r="D33" s="42">
        <v>5</v>
      </c>
      <c r="E33" s="42">
        <v>1</v>
      </c>
      <c r="F33" s="42">
        <v>2</v>
      </c>
      <c r="G33" s="42">
        <v>1</v>
      </c>
      <c r="H33" s="42">
        <v>1</v>
      </c>
      <c r="I33" s="42">
        <v>0</v>
      </c>
      <c r="J33" s="44"/>
    </row>
    <row r="34" spans="1:10" ht="17.25" x14ac:dyDescent="0.3">
      <c r="A34" s="42" t="s">
        <v>62</v>
      </c>
      <c r="B34" s="41" t="s">
        <v>146</v>
      </c>
      <c r="C34" s="43" t="s">
        <v>147</v>
      </c>
      <c r="D34" s="42">
        <v>7</v>
      </c>
      <c r="E34" s="42">
        <v>2</v>
      </c>
      <c r="F34" s="42">
        <v>3</v>
      </c>
      <c r="G34" s="42">
        <v>1</v>
      </c>
      <c r="H34" s="42">
        <v>1</v>
      </c>
      <c r="I34" s="42">
        <v>0</v>
      </c>
      <c r="J34" s="44"/>
    </row>
    <row r="35" spans="1:10" ht="17.25" x14ac:dyDescent="0.3">
      <c r="A35" s="41" t="s">
        <v>53</v>
      </c>
      <c r="B35" s="41" t="s">
        <v>148</v>
      </c>
      <c r="C35" s="43" t="s">
        <v>149</v>
      </c>
      <c r="D35" s="42">
        <v>2</v>
      </c>
      <c r="E35" s="42">
        <v>1</v>
      </c>
      <c r="F35" s="42">
        <v>1</v>
      </c>
      <c r="G35" s="42">
        <v>0</v>
      </c>
      <c r="H35" s="42">
        <v>0</v>
      </c>
      <c r="I35" s="42">
        <v>0</v>
      </c>
      <c r="J35" s="44"/>
    </row>
    <row r="36" spans="1:10" ht="17.25" x14ac:dyDescent="0.3">
      <c r="A36" s="41" t="s">
        <v>41</v>
      </c>
      <c r="B36" s="41" t="s">
        <v>120</v>
      </c>
      <c r="C36" s="43" t="s">
        <v>150</v>
      </c>
      <c r="D36" s="42">
        <v>2</v>
      </c>
      <c r="E36" s="42">
        <v>1</v>
      </c>
      <c r="F36" s="42">
        <v>1</v>
      </c>
      <c r="G36" s="42">
        <v>0</v>
      </c>
      <c r="H36" s="42">
        <v>0</v>
      </c>
      <c r="I36" s="42">
        <v>0</v>
      </c>
      <c r="J36" s="44"/>
    </row>
    <row r="37" spans="1:10" ht="17.25" x14ac:dyDescent="0.3">
      <c r="A37" s="41" t="s">
        <v>41</v>
      </c>
      <c r="B37" s="42" t="s">
        <v>128</v>
      </c>
      <c r="C37" s="43" t="s">
        <v>145</v>
      </c>
      <c r="D37" s="42">
        <v>4</v>
      </c>
      <c r="E37" s="42">
        <v>1</v>
      </c>
      <c r="F37" s="42">
        <v>2</v>
      </c>
      <c r="G37" s="42">
        <v>0</v>
      </c>
      <c r="H37" s="42">
        <v>1</v>
      </c>
      <c r="I37" s="42">
        <v>0</v>
      </c>
      <c r="J37" s="44"/>
    </row>
    <row r="38" spans="1:10" ht="18.75" x14ac:dyDescent="0.25">
      <c r="A38" s="160" t="s">
        <v>8</v>
      </c>
      <c r="B38" s="158"/>
      <c r="C38" s="158"/>
      <c r="D38" s="45">
        <f t="shared" ref="D38:I38" si="6">SUM(D32:D37)</f>
        <v>24</v>
      </c>
      <c r="E38" s="45">
        <f t="shared" si="6"/>
        <v>7</v>
      </c>
      <c r="F38" s="45">
        <f t="shared" si="6"/>
        <v>11</v>
      </c>
      <c r="G38" s="45">
        <f t="shared" si="6"/>
        <v>3</v>
      </c>
      <c r="H38" s="45">
        <f t="shared" si="6"/>
        <v>3</v>
      </c>
      <c r="I38" s="45">
        <f t="shared" si="6"/>
        <v>0</v>
      </c>
      <c r="J38" s="46"/>
    </row>
    <row r="39" spans="1:10" x14ac:dyDescent="0.25">
      <c r="A39" s="159" t="s">
        <v>122</v>
      </c>
      <c r="B39" s="158"/>
      <c r="C39" s="158"/>
      <c r="D39" s="47">
        <f t="shared" ref="D39:I39" si="7">IF($D$38=0,0,D38/$D$38)</f>
        <v>1</v>
      </c>
      <c r="E39" s="47">
        <f t="shared" si="7"/>
        <v>0.29166666666666669</v>
      </c>
      <c r="F39" s="47">
        <f t="shared" si="7"/>
        <v>0.45833333333333331</v>
      </c>
      <c r="G39" s="47">
        <f t="shared" si="7"/>
        <v>0.125</v>
      </c>
      <c r="H39" s="47">
        <f t="shared" si="7"/>
        <v>0.125</v>
      </c>
      <c r="I39" s="47">
        <f t="shared" si="7"/>
        <v>0</v>
      </c>
      <c r="J39" s="48"/>
    </row>
    <row r="40" spans="1:10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s="14" customFormat="1" ht="15.4" customHeight="1" x14ac:dyDescent="0.25">
      <c r="A41" s="157" t="s">
        <v>151</v>
      </c>
      <c r="B41" s="158"/>
      <c r="C41" s="158"/>
      <c r="D41" s="158"/>
      <c r="E41" s="158"/>
      <c r="F41" s="158"/>
      <c r="G41" s="158"/>
      <c r="H41" s="158"/>
      <c r="I41" s="158"/>
      <c r="J41" s="158"/>
    </row>
    <row r="42" spans="1:10" x14ac:dyDescent="0.35">
      <c r="A42" s="40" t="s">
        <v>117</v>
      </c>
      <c r="B42" s="40" t="s">
        <v>118</v>
      </c>
      <c r="C42" s="40" t="s">
        <v>14</v>
      </c>
      <c r="D42" s="40" t="s">
        <v>17</v>
      </c>
      <c r="E42" s="40" t="s">
        <v>2</v>
      </c>
      <c r="F42" s="40" t="s">
        <v>3</v>
      </c>
      <c r="G42" s="40" t="s">
        <v>119</v>
      </c>
      <c r="H42" s="40" t="s">
        <v>6</v>
      </c>
      <c r="I42" s="40" t="s">
        <v>7</v>
      </c>
      <c r="J42" s="40" t="s">
        <v>18</v>
      </c>
    </row>
    <row r="43" spans="1:10" x14ac:dyDescent="0.25">
      <c r="A43" s="41" t="s">
        <v>61</v>
      </c>
      <c r="B43" s="38" t="s">
        <v>142</v>
      </c>
      <c r="C43" s="38" t="s">
        <v>152</v>
      </c>
      <c r="D43" s="49">
        <v>4</v>
      </c>
      <c r="E43" s="50">
        <v>1</v>
      </c>
      <c r="F43" s="50">
        <v>2</v>
      </c>
      <c r="G43" s="50">
        <v>1</v>
      </c>
      <c r="H43" s="50">
        <v>0</v>
      </c>
      <c r="I43" s="38">
        <v>0</v>
      </c>
      <c r="J43" s="44"/>
    </row>
    <row r="44" spans="1:10" ht="17.25" x14ac:dyDescent="0.3">
      <c r="A44" s="41" t="s">
        <v>65</v>
      </c>
      <c r="B44" s="41" t="s">
        <v>153</v>
      </c>
      <c r="C44" s="43" t="s">
        <v>154</v>
      </c>
      <c r="D44" s="42">
        <v>4</v>
      </c>
      <c r="E44" s="42">
        <v>1</v>
      </c>
      <c r="F44" s="42">
        <v>1</v>
      </c>
      <c r="G44" s="42">
        <v>0</v>
      </c>
      <c r="H44" s="42">
        <v>2</v>
      </c>
      <c r="I44" s="42">
        <v>0</v>
      </c>
      <c r="J44" s="44"/>
    </row>
    <row r="45" spans="1:10" ht="17.25" x14ac:dyDescent="0.3">
      <c r="A45" s="42" t="s">
        <v>62</v>
      </c>
      <c r="B45" s="41" t="s">
        <v>133</v>
      </c>
      <c r="C45" s="43" t="s">
        <v>134</v>
      </c>
      <c r="D45" s="42">
        <v>6</v>
      </c>
      <c r="E45" s="42">
        <v>2</v>
      </c>
      <c r="F45" s="42">
        <v>3</v>
      </c>
      <c r="G45" s="42">
        <v>0</v>
      </c>
      <c r="H45" s="42">
        <v>1</v>
      </c>
      <c r="I45" s="42">
        <v>0</v>
      </c>
      <c r="J45" s="44"/>
    </row>
    <row r="46" spans="1:10" ht="17.25" x14ac:dyDescent="0.3">
      <c r="A46" s="41" t="s">
        <v>63</v>
      </c>
      <c r="B46" s="41" t="s">
        <v>155</v>
      </c>
      <c r="C46" s="43" t="s">
        <v>156</v>
      </c>
      <c r="D46" s="42">
        <v>5</v>
      </c>
      <c r="E46" s="42">
        <v>1</v>
      </c>
      <c r="F46" s="42">
        <v>2</v>
      </c>
      <c r="G46" s="42">
        <v>0</v>
      </c>
      <c r="H46" s="42">
        <v>2</v>
      </c>
      <c r="I46" s="42">
        <v>0</v>
      </c>
      <c r="J46" s="44"/>
    </row>
    <row r="47" spans="1:10" ht="18.75" x14ac:dyDescent="0.25">
      <c r="A47" s="160" t="s">
        <v>8</v>
      </c>
      <c r="B47" s="158"/>
      <c r="C47" s="158"/>
      <c r="D47" s="45">
        <f t="shared" ref="D47:I47" si="8">SUM(D43:D46)</f>
        <v>19</v>
      </c>
      <c r="E47" s="45">
        <f t="shared" si="8"/>
        <v>5</v>
      </c>
      <c r="F47" s="45">
        <f t="shared" si="8"/>
        <v>8</v>
      </c>
      <c r="G47" s="45">
        <f t="shared" si="8"/>
        <v>1</v>
      </c>
      <c r="H47" s="45">
        <f t="shared" si="8"/>
        <v>5</v>
      </c>
      <c r="I47" s="45">
        <f t="shared" si="8"/>
        <v>0</v>
      </c>
      <c r="J47" s="46"/>
    </row>
    <row r="48" spans="1:10" x14ac:dyDescent="0.25">
      <c r="A48" s="159" t="s">
        <v>122</v>
      </c>
      <c r="B48" s="158"/>
      <c r="C48" s="158"/>
      <c r="D48" s="47">
        <f t="shared" ref="D48:I48" si="9">IF($D$47=0,0,D47/$D$47)</f>
        <v>1</v>
      </c>
      <c r="E48" s="47">
        <f t="shared" si="9"/>
        <v>0.26315789473684209</v>
      </c>
      <c r="F48" s="47">
        <f t="shared" si="9"/>
        <v>0.42105263157894735</v>
      </c>
      <c r="G48" s="47">
        <f t="shared" si="9"/>
        <v>5.2631578947368418E-2</v>
      </c>
      <c r="H48" s="47">
        <f t="shared" si="9"/>
        <v>0.26315789473684209</v>
      </c>
      <c r="I48" s="47">
        <f t="shared" si="9"/>
        <v>0</v>
      </c>
      <c r="J48" s="48"/>
    </row>
    <row r="49" spans="1:10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s="14" customFormat="1" ht="15.4" customHeight="1" x14ac:dyDescent="0.25">
      <c r="A50" s="157" t="s">
        <v>157</v>
      </c>
      <c r="B50" s="158"/>
      <c r="C50" s="158"/>
      <c r="D50" s="158"/>
      <c r="E50" s="158"/>
      <c r="F50" s="158"/>
      <c r="G50" s="158"/>
      <c r="H50" s="158"/>
      <c r="I50" s="158"/>
      <c r="J50" s="158"/>
    </row>
    <row r="51" spans="1:10" x14ac:dyDescent="0.35">
      <c r="A51" s="40" t="s">
        <v>117</v>
      </c>
      <c r="B51" s="40" t="s">
        <v>118</v>
      </c>
      <c r="C51" s="40" t="s">
        <v>14</v>
      </c>
      <c r="D51" s="40" t="s">
        <v>17</v>
      </c>
      <c r="E51" s="40" t="s">
        <v>2</v>
      </c>
      <c r="F51" s="40" t="s">
        <v>3</v>
      </c>
      <c r="G51" s="40" t="s">
        <v>119</v>
      </c>
      <c r="H51" s="40" t="s">
        <v>6</v>
      </c>
      <c r="I51" s="40" t="s">
        <v>7</v>
      </c>
      <c r="J51" s="40" t="s">
        <v>18</v>
      </c>
    </row>
    <row r="52" spans="1:10" x14ac:dyDescent="0.25">
      <c r="A52" s="42" t="s">
        <v>66</v>
      </c>
      <c r="B52" s="38" t="s">
        <v>155</v>
      </c>
      <c r="C52" s="38" t="s">
        <v>158</v>
      </c>
      <c r="D52" s="49">
        <v>4</v>
      </c>
      <c r="E52" s="50">
        <v>1</v>
      </c>
      <c r="F52" s="50">
        <v>1</v>
      </c>
      <c r="G52" s="50">
        <v>0</v>
      </c>
      <c r="H52" s="50">
        <v>2</v>
      </c>
      <c r="I52" s="44">
        <v>0</v>
      </c>
      <c r="J52" s="44"/>
    </row>
    <row r="53" spans="1:10" ht="17.25" x14ac:dyDescent="0.3">
      <c r="A53" s="42" t="s">
        <v>37</v>
      </c>
      <c r="B53" s="42" t="s">
        <v>131</v>
      </c>
      <c r="C53" s="43" t="s">
        <v>132</v>
      </c>
      <c r="D53" s="42">
        <v>6</v>
      </c>
      <c r="E53" s="42">
        <v>2</v>
      </c>
      <c r="F53" s="42">
        <v>3</v>
      </c>
      <c r="G53" s="42">
        <v>0</v>
      </c>
      <c r="H53" s="42">
        <v>1</v>
      </c>
      <c r="I53" s="42">
        <v>0</v>
      </c>
      <c r="J53" s="44"/>
    </row>
    <row r="54" spans="1:10" ht="17.25" x14ac:dyDescent="0.3">
      <c r="A54" s="41" t="s">
        <v>67</v>
      </c>
      <c r="B54" s="42" t="s">
        <v>159</v>
      </c>
      <c r="C54" s="43" t="s">
        <v>160</v>
      </c>
      <c r="D54" s="42">
        <v>1</v>
      </c>
      <c r="E54" s="42">
        <v>1</v>
      </c>
      <c r="F54" s="42">
        <v>0</v>
      </c>
      <c r="G54" s="42">
        <v>0</v>
      </c>
      <c r="H54" s="42">
        <v>0</v>
      </c>
      <c r="I54" s="42">
        <v>0</v>
      </c>
      <c r="J54" s="44"/>
    </row>
    <row r="55" spans="1:10" ht="17.25" x14ac:dyDescent="0.3">
      <c r="A55" s="42" t="s">
        <v>68</v>
      </c>
      <c r="B55" s="41" t="s">
        <v>161</v>
      </c>
      <c r="C55" s="43" t="s">
        <v>162</v>
      </c>
      <c r="D55" s="42">
        <v>3</v>
      </c>
      <c r="E55" s="42">
        <v>1</v>
      </c>
      <c r="F55" s="42">
        <v>1</v>
      </c>
      <c r="G55" s="42">
        <v>0</v>
      </c>
      <c r="H55" s="42">
        <v>1</v>
      </c>
      <c r="I55" s="42">
        <v>0</v>
      </c>
      <c r="J55" s="44"/>
    </row>
    <row r="56" spans="1:10" ht="17.25" x14ac:dyDescent="0.3">
      <c r="A56" s="41" t="s">
        <v>49</v>
      </c>
      <c r="B56" s="42" t="s">
        <v>163</v>
      </c>
      <c r="C56" s="43" t="s">
        <v>164</v>
      </c>
      <c r="D56" s="42">
        <v>2</v>
      </c>
      <c r="E56" s="42">
        <v>1</v>
      </c>
      <c r="F56" s="42">
        <v>1</v>
      </c>
      <c r="G56" s="42">
        <v>0</v>
      </c>
      <c r="H56" s="42">
        <v>0</v>
      </c>
      <c r="I56" s="42">
        <v>0</v>
      </c>
      <c r="J56" s="44"/>
    </row>
    <row r="57" spans="1:10" ht="17.25" x14ac:dyDescent="0.3">
      <c r="A57" s="41" t="s">
        <v>60</v>
      </c>
      <c r="B57" s="41" t="s">
        <v>165</v>
      </c>
      <c r="C57" s="43" t="s">
        <v>166</v>
      </c>
      <c r="D57" s="42">
        <v>4</v>
      </c>
      <c r="E57" s="42">
        <v>2</v>
      </c>
      <c r="F57" s="42">
        <v>1</v>
      </c>
      <c r="G57" s="42">
        <v>1</v>
      </c>
      <c r="H57" s="42">
        <v>0</v>
      </c>
      <c r="I57" s="42">
        <v>0</v>
      </c>
      <c r="J57" s="44"/>
    </row>
    <row r="58" spans="1:10" ht="17.25" x14ac:dyDescent="0.3">
      <c r="A58" s="42" t="s">
        <v>62</v>
      </c>
      <c r="B58" s="41" t="s">
        <v>146</v>
      </c>
      <c r="C58" s="43" t="s">
        <v>147</v>
      </c>
      <c r="D58" s="42">
        <v>7</v>
      </c>
      <c r="E58" s="42">
        <v>2</v>
      </c>
      <c r="F58" s="42">
        <v>3</v>
      </c>
      <c r="G58" s="42">
        <v>1</v>
      </c>
      <c r="H58" s="42">
        <v>1</v>
      </c>
      <c r="I58" s="42">
        <v>0</v>
      </c>
      <c r="J58" s="44"/>
    </row>
    <row r="59" spans="1:10" ht="17.25" x14ac:dyDescent="0.3">
      <c r="A59" s="42" t="s">
        <v>64</v>
      </c>
      <c r="B59" s="42" t="s">
        <v>128</v>
      </c>
      <c r="C59" s="43" t="s">
        <v>167</v>
      </c>
      <c r="D59" s="42">
        <v>4</v>
      </c>
      <c r="E59" s="42">
        <v>1</v>
      </c>
      <c r="F59" s="42">
        <v>2</v>
      </c>
      <c r="G59" s="42">
        <v>0</v>
      </c>
      <c r="H59" s="42">
        <v>1</v>
      </c>
      <c r="I59" s="42">
        <v>0</v>
      </c>
      <c r="J59" s="44"/>
    </row>
    <row r="60" spans="1:10" ht="17.25" x14ac:dyDescent="0.3">
      <c r="A60" s="41" t="s">
        <v>60</v>
      </c>
      <c r="B60" s="42" t="s">
        <v>168</v>
      </c>
      <c r="C60" s="43" t="s">
        <v>169</v>
      </c>
      <c r="D60" s="42">
        <v>6</v>
      </c>
      <c r="E60" s="42">
        <v>1</v>
      </c>
      <c r="F60" s="42">
        <v>2</v>
      </c>
      <c r="G60" s="42">
        <v>2</v>
      </c>
      <c r="H60" s="42">
        <v>1</v>
      </c>
      <c r="I60" s="42">
        <v>0</v>
      </c>
      <c r="J60" s="44"/>
    </row>
    <row r="61" spans="1:10" ht="17.25" x14ac:dyDescent="0.3">
      <c r="A61" s="41" t="s">
        <v>61</v>
      </c>
      <c r="B61" s="41" t="s">
        <v>133</v>
      </c>
      <c r="C61" s="43" t="s">
        <v>134</v>
      </c>
      <c r="D61" s="42">
        <v>2</v>
      </c>
      <c r="E61" s="42">
        <v>1</v>
      </c>
      <c r="F61" s="42">
        <v>1</v>
      </c>
      <c r="G61" s="42">
        <v>0</v>
      </c>
      <c r="H61" s="42">
        <v>0</v>
      </c>
      <c r="I61" s="42">
        <v>0</v>
      </c>
      <c r="J61" s="44"/>
    </row>
    <row r="62" spans="1:10" ht="17.25" x14ac:dyDescent="0.3">
      <c r="A62" s="41" t="s">
        <v>35</v>
      </c>
      <c r="B62" s="42" t="s">
        <v>170</v>
      </c>
      <c r="C62" s="43" t="s">
        <v>171</v>
      </c>
      <c r="D62" s="42">
        <v>3</v>
      </c>
      <c r="E62" s="42">
        <v>1</v>
      </c>
      <c r="F62" s="42">
        <v>1</v>
      </c>
      <c r="G62" s="42">
        <v>0</v>
      </c>
      <c r="H62" s="42">
        <v>1</v>
      </c>
      <c r="I62" s="42">
        <v>0</v>
      </c>
      <c r="J62" s="44"/>
    </row>
    <row r="63" spans="1:10" ht="17.25" x14ac:dyDescent="0.3">
      <c r="A63" s="42" t="s">
        <v>172</v>
      </c>
      <c r="B63" s="41" t="s">
        <v>173</v>
      </c>
      <c r="C63" s="43" t="s">
        <v>174</v>
      </c>
      <c r="D63" s="42">
        <v>4</v>
      </c>
      <c r="E63" s="42">
        <v>1</v>
      </c>
      <c r="F63" s="42">
        <v>2</v>
      </c>
      <c r="G63" s="42">
        <v>0</v>
      </c>
      <c r="H63" s="42">
        <v>1</v>
      </c>
      <c r="I63" s="42">
        <v>0</v>
      </c>
      <c r="J63" s="44"/>
    </row>
    <row r="64" spans="1:10" ht="18.75" x14ac:dyDescent="0.25">
      <c r="A64" s="160" t="s">
        <v>8</v>
      </c>
      <c r="B64" s="158"/>
      <c r="C64" s="158"/>
      <c r="D64" s="45">
        <f t="shared" ref="D64:I64" si="10">SUM(D52:D63)</f>
        <v>46</v>
      </c>
      <c r="E64" s="45">
        <f t="shared" si="10"/>
        <v>15</v>
      </c>
      <c r="F64" s="45">
        <f t="shared" si="10"/>
        <v>18</v>
      </c>
      <c r="G64" s="45">
        <f t="shared" si="10"/>
        <v>4</v>
      </c>
      <c r="H64" s="45">
        <f t="shared" si="10"/>
        <v>9</v>
      </c>
      <c r="I64" s="45">
        <f t="shared" si="10"/>
        <v>0</v>
      </c>
      <c r="J64" s="46"/>
    </row>
    <row r="65" spans="1:10" x14ac:dyDescent="0.25">
      <c r="A65" s="159" t="s">
        <v>122</v>
      </c>
      <c r="B65" s="158"/>
      <c r="C65" s="158"/>
      <c r="D65" s="47">
        <f t="shared" ref="D65:I65" si="11">IF($D$64=0,0,D64/$D$64)</f>
        <v>1</v>
      </c>
      <c r="E65" s="47">
        <f t="shared" si="11"/>
        <v>0.32608695652173914</v>
      </c>
      <c r="F65" s="47">
        <f t="shared" si="11"/>
        <v>0.39130434782608697</v>
      </c>
      <c r="G65" s="47">
        <f t="shared" si="11"/>
        <v>8.6956521739130432E-2</v>
      </c>
      <c r="H65" s="47">
        <f t="shared" si="11"/>
        <v>0.19565217391304349</v>
      </c>
      <c r="I65" s="47">
        <f t="shared" si="11"/>
        <v>0</v>
      </c>
      <c r="J65" s="48"/>
    </row>
    <row r="66" spans="1:10" x14ac:dyDescent="0.2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s="14" customFormat="1" ht="15.4" customHeight="1" x14ac:dyDescent="0.25">
      <c r="A67" s="157" t="s">
        <v>175</v>
      </c>
      <c r="B67" s="158"/>
      <c r="C67" s="158"/>
      <c r="D67" s="158"/>
      <c r="E67" s="158"/>
      <c r="F67" s="158"/>
      <c r="G67" s="158"/>
      <c r="H67" s="158"/>
      <c r="I67" s="158"/>
      <c r="J67" s="158"/>
    </row>
    <row r="68" spans="1:10" x14ac:dyDescent="0.35">
      <c r="A68" s="40" t="s">
        <v>117</v>
      </c>
      <c r="B68" s="40" t="s">
        <v>118</v>
      </c>
      <c r="C68" s="40" t="s">
        <v>14</v>
      </c>
      <c r="D68" s="40" t="s">
        <v>17</v>
      </c>
      <c r="E68" s="40" t="s">
        <v>2</v>
      </c>
      <c r="F68" s="40" t="s">
        <v>3</v>
      </c>
      <c r="G68" s="40" t="s">
        <v>119</v>
      </c>
      <c r="H68" s="40" t="s">
        <v>6</v>
      </c>
      <c r="I68" s="40" t="s">
        <v>7</v>
      </c>
      <c r="J68" s="40" t="s">
        <v>18</v>
      </c>
    </row>
    <row r="69" spans="1:10" x14ac:dyDescent="0.25">
      <c r="A69" s="41" t="s">
        <v>69</v>
      </c>
      <c r="B69" s="38" t="s">
        <v>176</v>
      </c>
      <c r="C69" s="38" t="s">
        <v>177</v>
      </c>
      <c r="D69" s="49">
        <v>2</v>
      </c>
      <c r="E69" s="50">
        <v>1</v>
      </c>
      <c r="F69" s="50">
        <v>1</v>
      </c>
      <c r="G69" s="50">
        <v>0</v>
      </c>
      <c r="H69" s="50">
        <v>0</v>
      </c>
      <c r="I69" s="44">
        <v>0</v>
      </c>
      <c r="J69" s="44"/>
    </row>
    <row r="70" spans="1:10" ht="17.25" x14ac:dyDescent="0.3">
      <c r="A70" s="41" t="s">
        <v>61</v>
      </c>
      <c r="B70" s="42" t="s">
        <v>128</v>
      </c>
      <c r="C70" s="43" t="s">
        <v>178</v>
      </c>
      <c r="D70" s="42">
        <v>4</v>
      </c>
      <c r="E70" s="42">
        <v>1</v>
      </c>
      <c r="F70" s="42">
        <v>2</v>
      </c>
      <c r="G70" s="42">
        <v>1</v>
      </c>
      <c r="H70" s="42">
        <v>0</v>
      </c>
      <c r="I70" s="42">
        <v>0</v>
      </c>
      <c r="J70" s="44"/>
    </row>
    <row r="71" spans="1:10" ht="17.25" x14ac:dyDescent="0.3">
      <c r="A71" s="41" t="s">
        <v>179</v>
      </c>
      <c r="B71" s="41" t="s">
        <v>180</v>
      </c>
      <c r="C71" s="43" t="s">
        <v>181</v>
      </c>
      <c r="D71" s="42">
        <v>1</v>
      </c>
      <c r="E71" s="42">
        <v>1</v>
      </c>
      <c r="F71" s="42">
        <v>0</v>
      </c>
      <c r="G71" s="42">
        <v>0</v>
      </c>
      <c r="H71" s="42">
        <v>0</v>
      </c>
      <c r="I71" s="42">
        <v>0</v>
      </c>
      <c r="J71" s="44"/>
    </row>
    <row r="72" spans="1:10" x14ac:dyDescent="0.2">
      <c r="A72" s="51" t="s">
        <v>23</v>
      </c>
      <c r="B72" s="51" t="s">
        <v>182</v>
      </c>
      <c r="C72" s="51" t="s">
        <v>183</v>
      </c>
      <c r="D72" s="52">
        <v>1</v>
      </c>
      <c r="E72" s="52">
        <v>0</v>
      </c>
      <c r="F72" s="52">
        <v>0</v>
      </c>
      <c r="G72" s="52">
        <v>0</v>
      </c>
      <c r="H72" s="52">
        <v>1</v>
      </c>
      <c r="I72" s="52">
        <v>0</v>
      </c>
      <c r="J72" s="51"/>
    </row>
    <row r="73" spans="1:10" x14ac:dyDescent="0.25">
      <c r="A73" s="48" t="s">
        <v>82</v>
      </c>
      <c r="B73" s="48" t="s">
        <v>184</v>
      </c>
      <c r="C73" s="48" t="s">
        <v>185</v>
      </c>
      <c r="D73" s="53">
        <v>3</v>
      </c>
      <c r="E73" s="53">
        <v>0</v>
      </c>
      <c r="F73" s="53">
        <v>0</v>
      </c>
      <c r="G73" s="53">
        <v>2</v>
      </c>
      <c r="H73" s="53">
        <v>1</v>
      </c>
      <c r="I73" s="53">
        <v>0</v>
      </c>
      <c r="J73" s="48"/>
    </row>
    <row r="74" spans="1:10" x14ac:dyDescent="0.25">
      <c r="A74" s="54" t="s">
        <v>8</v>
      </c>
      <c r="B74" s="54"/>
      <c r="C74" s="54"/>
      <c r="D74" s="55">
        <f t="shared" ref="D74:I74" si="12">SUM(D69:D73)</f>
        <v>11</v>
      </c>
      <c r="E74" s="55">
        <f t="shared" si="12"/>
        <v>3</v>
      </c>
      <c r="F74" s="55">
        <f t="shared" si="12"/>
        <v>3</v>
      </c>
      <c r="G74" s="55">
        <f t="shared" si="12"/>
        <v>3</v>
      </c>
      <c r="H74" s="55">
        <f t="shared" si="12"/>
        <v>2</v>
      </c>
      <c r="I74" s="55">
        <f t="shared" si="12"/>
        <v>0</v>
      </c>
      <c r="J74" s="54"/>
    </row>
    <row r="75" spans="1:10" s="14" customFormat="1" ht="15.4" customHeight="1" x14ac:dyDescent="0.25">
      <c r="A75" s="56" t="s">
        <v>122</v>
      </c>
      <c r="B75" s="48"/>
      <c r="C75" s="48"/>
      <c r="D75" s="47">
        <f t="shared" ref="D75:I75" si="13">IF($D$74=0,0,D74/$D$74)</f>
        <v>1</v>
      </c>
      <c r="E75" s="47">
        <f t="shared" si="13"/>
        <v>0.27272727272727271</v>
      </c>
      <c r="F75" s="47">
        <f t="shared" si="13"/>
        <v>0.27272727272727271</v>
      </c>
      <c r="G75" s="47">
        <f t="shared" si="13"/>
        <v>0.27272727272727271</v>
      </c>
      <c r="H75" s="47">
        <f t="shared" si="13"/>
        <v>0.18181818181818182</v>
      </c>
      <c r="I75" s="47">
        <f t="shared" si="13"/>
        <v>0</v>
      </c>
      <c r="J75" s="48"/>
    </row>
    <row r="76" spans="1:10" s="14" customFormat="1" ht="19.149999999999999" customHeight="1" x14ac:dyDescent="0.25">
      <c r="A76" s="163" t="s">
        <v>186</v>
      </c>
      <c r="B76" s="158"/>
      <c r="C76" s="158"/>
      <c r="D76" s="158"/>
      <c r="E76" s="158"/>
      <c r="F76" s="158"/>
      <c r="G76" s="158"/>
      <c r="H76" s="158"/>
      <c r="I76" s="158"/>
      <c r="J76" s="158"/>
    </row>
    <row r="77" spans="1:10" s="14" customFormat="1" ht="19.149999999999999" customHeight="1" x14ac:dyDescent="0.3">
      <c r="A77" s="57" t="s">
        <v>117</v>
      </c>
      <c r="B77" s="58" t="s">
        <v>118</v>
      </c>
      <c r="C77" s="58" t="s">
        <v>14</v>
      </c>
      <c r="D77" s="59" t="s">
        <v>17</v>
      </c>
      <c r="E77" s="59" t="s">
        <v>2</v>
      </c>
      <c r="F77" s="59" t="s">
        <v>3</v>
      </c>
      <c r="G77" s="59" t="s">
        <v>119</v>
      </c>
      <c r="H77" s="59" t="s">
        <v>6</v>
      </c>
      <c r="I77" s="59" t="s">
        <v>7</v>
      </c>
      <c r="J77" s="58" t="s">
        <v>18</v>
      </c>
    </row>
    <row r="78" spans="1:10" x14ac:dyDescent="0.25">
      <c r="A78" s="42" t="s">
        <v>29</v>
      </c>
      <c r="B78" s="38" t="s">
        <v>124</v>
      </c>
      <c r="C78" s="38" t="s">
        <v>187</v>
      </c>
      <c r="D78" s="50">
        <v>4</v>
      </c>
      <c r="E78" s="50">
        <v>1</v>
      </c>
      <c r="F78" s="50">
        <v>2</v>
      </c>
      <c r="G78" s="50">
        <v>0</v>
      </c>
      <c r="H78" s="50">
        <v>1</v>
      </c>
      <c r="I78" s="44">
        <v>0</v>
      </c>
      <c r="J78" s="44"/>
    </row>
    <row r="79" spans="1:10" x14ac:dyDescent="0.25">
      <c r="A79" s="42" t="s">
        <v>73</v>
      </c>
      <c r="B79" s="38" t="s">
        <v>120</v>
      </c>
      <c r="C79" s="38" t="s">
        <v>188</v>
      </c>
      <c r="D79" s="50">
        <v>2</v>
      </c>
      <c r="E79" s="50">
        <v>1</v>
      </c>
      <c r="F79" s="50">
        <v>1</v>
      </c>
      <c r="G79" s="50">
        <v>0</v>
      </c>
      <c r="H79" s="50">
        <v>0</v>
      </c>
      <c r="I79" s="50">
        <v>0</v>
      </c>
      <c r="J79" s="44"/>
    </row>
    <row r="80" spans="1:10" ht="17.25" x14ac:dyDescent="0.3">
      <c r="A80" s="41" t="s">
        <v>23</v>
      </c>
      <c r="B80" s="41" t="s">
        <v>189</v>
      </c>
      <c r="C80" s="43" t="s">
        <v>190</v>
      </c>
      <c r="D80" s="42">
        <v>3</v>
      </c>
      <c r="E80" s="42">
        <v>1</v>
      </c>
      <c r="F80" s="42">
        <v>1</v>
      </c>
      <c r="G80" s="42">
        <v>0</v>
      </c>
      <c r="H80" s="42">
        <v>1</v>
      </c>
      <c r="I80" s="42">
        <v>0</v>
      </c>
      <c r="J80" s="44"/>
    </row>
    <row r="81" spans="1:10" ht="17.25" x14ac:dyDescent="0.3">
      <c r="A81" s="41" t="s">
        <v>49</v>
      </c>
      <c r="B81" s="41" t="s">
        <v>191</v>
      </c>
      <c r="C81" s="43" t="s">
        <v>192</v>
      </c>
      <c r="D81" s="42">
        <v>5</v>
      </c>
      <c r="E81" s="42">
        <v>1</v>
      </c>
      <c r="F81" s="42">
        <v>2</v>
      </c>
      <c r="G81" s="42">
        <v>1</v>
      </c>
      <c r="H81" s="42">
        <v>1</v>
      </c>
      <c r="I81" s="42">
        <v>0</v>
      </c>
      <c r="J81" s="44"/>
    </row>
    <row r="82" spans="1:10" ht="17.25" x14ac:dyDescent="0.3">
      <c r="A82" s="42" t="s">
        <v>53</v>
      </c>
      <c r="B82" s="41" t="s">
        <v>173</v>
      </c>
      <c r="C82" s="43" t="s">
        <v>174</v>
      </c>
      <c r="D82" s="42">
        <v>3</v>
      </c>
      <c r="E82" s="42">
        <v>1</v>
      </c>
      <c r="F82" s="42">
        <v>2</v>
      </c>
      <c r="G82" s="42">
        <v>0</v>
      </c>
      <c r="H82" s="42">
        <v>0</v>
      </c>
      <c r="I82" s="42">
        <v>0</v>
      </c>
      <c r="J82" s="44"/>
    </row>
    <row r="83" spans="1:10" ht="17.25" x14ac:dyDescent="0.3">
      <c r="A83" s="42" t="s">
        <v>37</v>
      </c>
      <c r="B83" s="41" t="s">
        <v>193</v>
      </c>
      <c r="C83" s="43" t="s">
        <v>194</v>
      </c>
      <c r="D83" s="42">
        <v>3</v>
      </c>
      <c r="E83" s="42">
        <v>2</v>
      </c>
      <c r="F83" s="42">
        <v>1</v>
      </c>
      <c r="G83" s="42">
        <v>0</v>
      </c>
      <c r="H83" s="42">
        <v>0</v>
      </c>
      <c r="I83" s="42">
        <v>0</v>
      </c>
      <c r="J83" s="44"/>
    </row>
    <row r="84" spans="1:10" ht="17.25" x14ac:dyDescent="0.3">
      <c r="A84" s="42" t="s">
        <v>37</v>
      </c>
      <c r="B84" s="41" t="s">
        <v>193</v>
      </c>
      <c r="C84" s="43" t="s">
        <v>194</v>
      </c>
      <c r="D84" s="42">
        <v>3</v>
      </c>
      <c r="E84" s="42">
        <v>2</v>
      </c>
      <c r="F84" s="42">
        <v>1</v>
      </c>
      <c r="G84" s="42">
        <v>0</v>
      </c>
      <c r="H84" s="42">
        <v>0</v>
      </c>
      <c r="I84" s="42">
        <v>0</v>
      </c>
      <c r="J84" s="44"/>
    </row>
    <row r="85" spans="1:10" ht="17.25" x14ac:dyDescent="0.35">
      <c r="A85" s="60" t="s">
        <v>33</v>
      </c>
      <c r="B85" s="48" t="s">
        <v>153</v>
      </c>
      <c r="C85" s="48" t="s">
        <v>195</v>
      </c>
      <c r="D85" s="53">
        <v>2</v>
      </c>
      <c r="E85" s="53">
        <v>1</v>
      </c>
      <c r="F85" s="53">
        <v>1</v>
      </c>
      <c r="G85" s="53">
        <v>0</v>
      </c>
      <c r="H85" s="53">
        <v>0</v>
      </c>
      <c r="I85" s="53">
        <v>0</v>
      </c>
      <c r="J85" s="48"/>
    </row>
    <row r="86" spans="1:10" ht="18.75" x14ac:dyDescent="0.25">
      <c r="A86" s="161" t="s">
        <v>8</v>
      </c>
      <c r="B86" s="158"/>
      <c r="C86" s="158"/>
      <c r="D86" s="55">
        <f t="shared" ref="D86:I86" si="14">SUM(D78:D85)</f>
        <v>25</v>
      </c>
      <c r="E86" s="55">
        <f t="shared" si="14"/>
        <v>10</v>
      </c>
      <c r="F86" s="55">
        <f t="shared" si="14"/>
        <v>11</v>
      </c>
      <c r="G86" s="55">
        <f t="shared" si="14"/>
        <v>1</v>
      </c>
      <c r="H86" s="55">
        <f t="shared" si="14"/>
        <v>3</v>
      </c>
      <c r="I86" s="55">
        <f t="shared" si="14"/>
        <v>0</v>
      </c>
      <c r="J86" s="61"/>
    </row>
    <row r="87" spans="1:10" x14ac:dyDescent="0.25">
      <c r="A87" s="48" t="s">
        <v>122</v>
      </c>
      <c r="B87" s="48"/>
      <c r="C87" s="48"/>
      <c r="D87" s="47">
        <f t="shared" ref="D87:I87" si="15">IF($D$86=0,0,D86/$D$86)</f>
        <v>1</v>
      </c>
      <c r="E87" s="47">
        <f t="shared" si="15"/>
        <v>0.4</v>
      </c>
      <c r="F87" s="47">
        <f t="shared" si="15"/>
        <v>0.44</v>
      </c>
      <c r="G87" s="47">
        <f t="shared" si="15"/>
        <v>0.04</v>
      </c>
      <c r="H87" s="47">
        <f t="shared" si="15"/>
        <v>0.12</v>
      </c>
      <c r="I87" s="47">
        <f t="shared" si="15"/>
        <v>0</v>
      </c>
      <c r="J87" s="48"/>
    </row>
    <row r="88" spans="1:10" s="14" customFormat="1" ht="15.4" customHeight="1" x14ac:dyDescent="0.25">
      <c r="A88" s="62"/>
      <c r="B88" s="63"/>
      <c r="C88" s="63"/>
      <c r="D88" s="63"/>
      <c r="E88" s="63"/>
      <c r="F88" s="63"/>
      <c r="G88" s="63"/>
      <c r="H88" s="63"/>
      <c r="I88" s="63"/>
      <c r="J88" s="63"/>
    </row>
    <row r="89" spans="1:10" s="14" customFormat="1" ht="19.149999999999999" customHeight="1" x14ac:dyDescent="0.25">
      <c r="A89" s="163" t="s">
        <v>196</v>
      </c>
      <c r="B89" s="158"/>
      <c r="C89" s="158"/>
      <c r="D89" s="158"/>
      <c r="E89" s="158"/>
      <c r="F89" s="158"/>
      <c r="G89" s="158"/>
      <c r="H89" s="158"/>
      <c r="I89" s="158"/>
      <c r="J89" s="158"/>
    </row>
    <row r="90" spans="1:10" s="14" customFormat="1" ht="19.149999999999999" customHeight="1" x14ac:dyDescent="0.25">
      <c r="A90" s="59" t="s">
        <v>117</v>
      </c>
      <c r="B90" s="58" t="s">
        <v>118</v>
      </c>
      <c r="C90" s="58" t="s">
        <v>14</v>
      </c>
      <c r="D90" s="59" t="s">
        <v>17</v>
      </c>
      <c r="E90" s="59" t="s">
        <v>2</v>
      </c>
      <c r="F90" s="59" t="s">
        <v>3</v>
      </c>
      <c r="G90" s="59" t="s">
        <v>119</v>
      </c>
      <c r="H90" s="59" t="s">
        <v>6</v>
      </c>
      <c r="I90" s="59" t="s">
        <v>7</v>
      </c>
      <c r="J90" s="64" t="s">
        <v>18</v>
      </c>
    </row>
    <row r="91" spans="1:10" x14ac:dyDescent="0.25">
      <c r="A91" s="42" t="s">
        <v>33</v>
      </c>
      <c r="B91" s="38" t="s">
        <v>176</v>
      </c>
      <c r="C91" s="38" t="s">
        <v>197</v>
      </c>
      <c r="D91" s="65">
        <v>6</v>
      </c>
      <c r="E91" s="65">
        <v>2</v>
      </c>
      <c r="F91" s="65">
        <v>3</v>
      </c>
      <c r="G91" s="65">
        <v>0</v>
      </c>
      <c r="H91" s="65">
        <v>0</v>
      </c>
      <c r="I91" s="66">
        <v>1</v>
      </c>
      <c r="J91" s="44" t="s">
        <v>198</v>
      </c>
    </row>
    <row r="92" spans="1:10" x14ac:dyDescent="0.25">
      <c r="A92" s="42" t="s">
        <v>77</v>
      </c>
      <c r="B92" s="38" t="s">
        <v>199</v>
      </c>
      <c r="C92" s="38" t="s">
        <v>200</v>
      </c>
      <c r="D92" s="50">
        <v>4</v>
      </c>
      <c r="E92" s="50">
        <v>1</v>
      </c>
      <c r="F92" s="50">
        <v>1</v>
      </c>
      <c r="G92" s="50">
        <v>0</v>
      </c>
      <c r="H92" s="50">
        <v>0</v>
      </c>
      <c r="I92" s="66">
        <v>2</v>
      </c>
      <c r="J92" s="44"/>
    </row>
    <row r="93" spans="1:10" x14ac:dyDescent="0.3">
      <c r="A93" s="42" t="s">
        <v>64</v>
      </c>
      <c r="B93" s="41" t="s">
        <v>201</v>
      </c>
      <c r="C93" s="43" t="s">
        <v>202</v>
      </c>
      <c r="D93" s="42">
        <v>4</v>
      </c>
      <c r="E93" s="42">
        <v>1</v>
      </c>
      <c r="F93" s="42">
        <v>1</v>
      </c>
      <c r="G93" s="42">
        <v>0</v>
      </c>
      <c r="H93" s="42">
        <v>0</v>
      </c>
      <c r="I93" s="67">
        <v>2</v>
      </c>
      <c r="J93" s="68"/>
    </row>
    <row r="94" spans="1:10" s="14" customFormat="1" ht="21.2" customHeight="1" x14ac:dyDescent="0.3">
      <c r="A94" s="42" t="s">
        <v>64</v>
      </c>
      <c r="B94" s="41" t="s">
        <v>203</v>
      </c>
      <c r="C94" s="43" t="s">
        <v>204</v>
      </c>
      <c r="D94" s="42">
        <v>5</v>
      </c>
      <c r="E94" s="42">
        <v>1</v>
      </c>
      <c r="F94" s="42">
        <v>0</v>
      </c>
      <c r="G94" s="42">
        <v>0</v>
      </c>
      <c r="H94" s="42">
        <v>1</v>
      </c>
      <c r="I94" s="67">
        <v>3</v>
      </c>
      <c r="J94" s="68" t="s">
        <v>205</v>
      </c>
    </row>
    <row r="95" spans="1:10" ht="17.25" x14ac:dyDescent="0.3">
      <c r="A95" s="42" t="s">
        <v>33</v>
      </c>
      <c r="B95" s="41" t="s">
        <v>176</v>
      </c>
      <c r="C95" s="43" t="s">
        <v>54</v>
      </c>
      <c r="D95" s="42">
        <v>6</v>
      </c>
      <c r="E95" s="42">
        <v>2</v>
      </c>
      <c r="F95" s="42">
        <v>2</v>
      </c>
      <c r="G95" s="42">
        <v>0</v>
      </c>
      <c r="H95" s="42">
        <v>0</v>
      </c>
      <c r="I95" s="42">
        <v>2</v>
      </c>
      <c r="J95" s="44" t="s">
        <v>206</v>
      </c>
    </row>
    <row r="96" spans="1:10" x14ac:dyDescent="0.3">
      <c r="A96" s="41" t="s">
        <v>74</v>
      </c>
      <c r="B96" s="42" t="s">
        <v>148</v>
      </c>
      <c r="C96" s="43" t="s">
        <v>207</v>
      </c>
      <c r="D96" s="42">
        <v>4</v>
      </c>
      <c r="E96" s="42">
        <v>1</v>
      </c>
      <c r="F96" s="42">
        <v>2</v>
      </c>
      <c r="G96" s="42">
        <v>1</v>
      </c>
      <c r="H96" s="42">
        <v>0</v>
      </c>
      <c r="I96" s="67">
        <v>0</v>
      </c>
      <c r="J96" s="68"/>
    </row>
    <row r="97" spans="1:10" ht="17.25" x14ac:dyDescent="0.3">
      <c r="A97" s="41" t="s">
        <v>76</v>
      </c>
      <c r="B97" s="41" t="s">
        <v>208</v>
      </c>
      <c r="C97" s="43" t="s">
        <v>209</v>
      </c>
      <c r="D97" s="42">
        <v>5</v>
      </c>
      <c r="E97" s="42">
        <v>1</v>
      </c>
      <c r="F97" s="42">
        <v>1</v>
      </c>
      <c r="G97" s="42">
        <v>0</v>
      </c>
      <c r="H97" s="42">
        <v>1</v>
      </c>
      <c r="I97" s="42">
        <v>2</v>
      </c>
      <c r="J97" s="44" t="s">
        <v>206</v>
      </c>
    </row>
    <row r="98" spans="1:10" ht="17.25" x14ac:dyDescent="0.3">
      <c r="A98" s="42" t="s">
        <v>75</v>
      </c>
      <c r="B98" s="41" t="s">
        <v>210</v>
      </c>
      <c r="C98" s="43" t="s">
        <v>211</v>
      </c>
      <c r="D98" s="42">
        <v>1</v>
      </c>
      <c r="E98" s="42">
        <v>1</v>
      </c>
      <c r="F98" s="42">
        <v>0</v>
      </c>
      <c r="G98" s="42">
        <v>0</v>
      </c>
      <c r="H98" s="42">
        <v>0</v>
      </c>
      <c r="I98" s="42">
        <v>0</v>
      </c>
      <c r="J98" s="44"/>
    </row>
    <row r="99" spans="1:10" s="14" customFormat="1" ht="31.7" customHeight="1" x14ac:dyDescent="0.35">
      <c r="A99" s="60" t="s">
        <v>77</v>
      </c>
      <c r="B99" s="48" t="s">
        <v>212</v>
      </c>
      <c r="C99" s="48" t="s">
        <v>213</v>
      </c>
      <c r="D99" s="53">
        <v>3</v>
      </c>
      <c r="E99" s="53">
        <v>1</v>
      </c>
      <c r="F99" s="53">
        <v>1</v>
      </c>
      <c r="G99" s="53">
        <v>0</v>
      </c>
      <c r="H99" s="53">
        <v>1</v>
      </c>
      <c r="I99" s="53">
        <v>0</v>
      </c>
      <c r="J99" s="69"/>
    </row>
    <row r="100" spans="1:10" ht="18" x14ac:dyDescent="0.35">
      <c r="A100" s="60" t="s">
        <v>75</v>
      </c>
      <c r="B100" s="44" t="s">
        <v>214</v>
      </c>
      <c r="C100" s="44" t="s">
        <v>215</v>
      </c>
      <c r="D100" s="53">
        <v>1</v>
      </c>
      <c r="E100" s="53">
        <v>1</v>
      </c>
      <c r="F100" s="53">
        <v>0</v>
      </c>
      <c r="G100" s="53">
        <v>0</v>
      </c>
      <c r="H100" s="53">
        <v>0</v>
      </c>
      <c r="I100" s="53">
        <v>0</v>
      </c>
      <c r="J100" s="69"/>
    </row>
    <row r="101" spans="1:10" ht="18.75" x14ac:dyDescent="0.25">
      <c r="A101" s="71" t="s">
        <v>8</v>
      </c>
      <c r="B101" s="44"/>
      <c r="C101" s="44"/>
      <c r="D101" s="55">
        <f t="shared" ref="D101:I101" si="16">SUM(D91:D100)</f>
        <v>39</v>
      </c>
      <c r="E101" s="55">
        <f t="shared" si="16"/>
        <v>12</v>
      </c>
      <c r="F101" s="55">
        <f t="shared" si="16"/>
        <v>11</v>
      </c>
      <c r="G101" s="55">
        <f t="shared" si="16"/>
        <v>1</v>
      </c>
      <c r="H101" s="55">
        <f t="shared" si="16"/>
        <v>3</v>
      </c>
      <c r="I101" s="55">
        <f t="shared" si="16"/>
        <v>12</v>
      </c>
      <c r="J101" s="61" t="s">
        <v>216</v>
      </c>
    </row>
    <row r="102" spans="1:10" s="14" customFormat="1" ht="15.4" customHeight="1" x14ac:dyDescent="0.25">
      <c r="A102" s="48" t="s">
        <v>122</v>
      </c>
      <c r="B102" s="48"/>
      <c r="C102" s="48"/>
      <c r="D102" s="47">
        <f t="shared" ref="D102:I102" si="17">IF($D$101=0,0,D101/$D$101)</f>
        <v>1</v>
      </c>
      <c r="E102" s="47">
        <f t="shared" si="17"/>
        <v>0.30769230769230771</v>
      </c>
      <c r="F102" s="47">
        <f t="shared" si="17"/>
        <v>0.28205128205128205</v>
      </c>
      <c r="G102" s="47">
        <f t="shared" si="17"/>
        <v>2.564102564102564E-2</v>
      </c>
      <c r="H102" s="47">
        <f t="shared" si="17"/>
        <v>7.6923076923076927E-2</v>
      </c>
      <c r="I102" s="47">
        <f t="shared" si="17"/>
        <v>0.30769230769230771</v>
      </c>
      <c r="J102" s="48"/>
    </row>
    <row r="103" spans="1:10" s="14" customFormat="1" ht="19.149999999999999" customHeight="1" x14ac:dyDescent="0.25">
      <c r="A103" s="162"/>
      <c r="B103" s="158"/>
      <c r="C103" s="158"/>
      <c r="D103" s="158"/>
      <c r="E103" s="158"/>
      <c r="F103" s="158"/>
      <c r="G103" s="158"/>
      <c r="H103" s="158"/>
      <c r="I103" s="158"/>
      <c r="J103" s="158"/>
    </row>
    <row r="104" spans="1:10" s="14" customFormat="1" ht="19.149999999999999" customHeight="1" x14ac:dyDescent="0.25">
      <c r="A104" s="72" t="s">
        <v>217</v>
      </c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x14ac:dyDescent="0.3">
      <c r="A105" s="59" t="s">
        <v>117</v>
      </c>
      <c r="B105" s="57" t="s">
        <v>118</v>
      </c>
      <c r="C105" s="57" t="s">
        <v>14</v>
      </c>
      <c r="D105" s="59" t="s">
        <v>17</v>
      </c>
      <c r="E105" s="59" t="s">
        <v>2</v>
      </c>
      <c r="F105" s="59" t="s">
        <v>3</v>
      </c>
      <c r="G105" s="59" t="s">
        <v>119</v>
      </c>
      <c r="H105" s="59" t="s">
        <v>6</v>
      </c>
      <c r="I105" s="59" t="s">
        <v>7</v>
      </c>
      <c r="J105" s="64" t="s">
        <v>18</v>
      </c>
    </row>
    <row r="106" spans="1:10" ht="30" x14ac:dyDescent="0.3">
      <c r="A106" s="42" t="s">
        <v>80</v>
      </c>
      <c r="B106" s="41" t="s">
        <v>218</v>
      </c>
      <c r="C106" s="43" t="s">
        <v>219</v>
      </c>
      <c r="D106" s="42">
        <v>4</v>
      </c>
      <c r="E106" s="42">
        <v>1</v>
      </c>
      <c r="F106" s="42">
        <v>2</v>
      </c>
      <c r="G106" s="42">
        <v>0</v>
      </c>
      <c r="H106" s="42">
        <v>1</v>
      </c>
      <c r="I106" s="67">
        <v>0</v>
      </c>
      <c r="J106" s="68"/>
    </row>
    <row r="107" spans="1:10" x14ac:dyDescent="0.3">
      <c r="A107" s="42" t="s">
        <v>220</v>
      </c>
      <c r="B107" s="41" t="s">
        <v>221</v>
      </c>
      <c r="C107" s="43" t="s">
        <v>222</v>
      </c>
      <c r="D107" s="42">
        <v>4</v>
      </c>
      <c r="E107" s="42">
        <v>1</v>
      </c>
      <c r="F107" s="42">
        <v>2</v>
      </c>
      <c r="G107" s="42">
        <v>1</v>
      </c>
      <c r="H107" s="42">
        <v>0</v>
      </c>
      <c r="I107" s="67">
        <v>0</v>
      </c>
      <c r="J107" s="68"/>
    </row>
    <row r="108" spans="1:10" s="14" customFormat="1" ht="31.7" customHeight="1" x14ac:dyDescent="0.3">
      <c r="A108" s="42" t="s">
        <v>35</v>
      </c>
      <c r="B108" s="41" t="s">
        <v>223</v>
      </c>
      <c r="C108" s="43" t="s">
        <v>224</v>
      </c>
      <c r="D108" s="42">
        <v>3</v>
      </c>
      <c r="E108" s="42">
        <v>1</v>
      </c>
      <c r="F108" s="42">
        <v>2</v>
      </c>
      <c r="G108" s="42">
        <v>0</v>
      </c>
      <c r="H108" s="42">
        <v>0</v>
      </c>
      <c r="I108" s="67">
        <v>0</v>
      </c>
      <c r="J108" s="68"/>
    </row>
    <row r="109" spans="1:10" ht="21" x14ac:dyDescent="0.3">
      <c r="A109" s="60" t="s">
        <v>225</v>
      </c>
      <c r="B109" s="44" t="s">
        <v>199</v>
      </c>
      <c r="C109" s="44" t="s">
        <v>226</v>
      </c>
      <c r="D109" s="53">
        <v>4</v>
      </c>
      <c r="E109" s="53">
        <v>1</v>
      </c>
      <c r="F109" s="53">
        <v>1</v>
      </c>
      <c r="G109" s="53">
        <v>0</v>
      </c>
      <c r="H109" s="53">
        <v>0</v>
      </c>
      <c r="I109" s="53">
        <v>2</v>
      </c>
      <c r="J109" s="69" t="s">
        <v>206</v>
      </c>
    </row>
    <row r="110" spans="1:10" ht="18.75" x14ac:dyDescent="0.25">
      <c r="A110" s="73" t="s">
        <v>228</v>
      </c>
      <c r="B110" s="44" t="s">
        <v>279</v>
      </c>
      <c r="C110" s="44" t="s">
        <v>227</v>
      </c>
      <c r="D110" s="45">
        <v>4</v>
      </c>
      <c r="E110" s="45">
        <v>1</v>
      </c>
      <c r="F110" s="45">
        <v>2</v>
      </c>
      <c r="G110" s="45">
        <v>0</v>
      </c>
      <c r="H110" s="45">
        <v>1</v>
      </c>
      <c r="I110" s="45">
        <v>0</v>
      </c>
      <c r="J110" s="74"/>
    </row>
    <row r="111" spans="1:10" x14ac:dyDescent="0.25">
      <c r="A111" s="145" t="s">
        <v>63</v>
      </c>
      <c r="B111" s="145" t="s">
        <v>280</v>
      </c>
      <c r="C111" s="145" t="s">
        <v>229</v>
      </c>
      <c r="D111" s="147">
        <v>3</v>
      </c>
      <c r="E111" s="147">
        <v>1</v>
      </c>
      <c r="F111" s="147">
        <v>2</v>
      </c>
      <c r="G111" s="147">
        <v>0</v>
      </c>
      <c r="H111" s="147">
        <v>0</v>
      </c>
      <c r="I111" s="147">
        <v>0</v>
      </c>
      <c r="J111" s="145"/>
    </row>
    <row r="112" spans="1:10" x14ac:dyDescent="0.25">
      <c r="A112" s="139" t="s">
        <v>8</v>
      </c>
      <c r="B112" s="139"/>
      <c r="C112" s="139"/>
      <c r="D112" s="140">
        <f>SUM(D106:D111)</f>
        <v>22</v>
      </c>
      <c r="E112" s="140">
        <f>SUM(E106:E111)</f>
        <v>6</v>
      </c>
      <c r="F112" s="140">
        <f>SUM(F106:F111)</f>
        <v>11</v>
      </c>
      <c r="G112" s="140">
        <f>SUM(G106:G111)</f>
        <v>1</v>
      </c>
      <c r="H112" s="140">
        <f>SUM(H106:H111)</f>
        <v>2</v>
      </c>
      <c r="I112" s="140">
        <f>SUM(I106:I111)</f>
        <v>2</v>
      </c>
      <c r="J112" s="139" t="s">
        <v>281</v>
      </c>
    </row>
    <row r="113" spans="1:10" x14ac:dyDescent="0.25">
      <c r="A113" s="141" t="s">
        <v>122</v>
      </c>
      <c r="B113" s="141"/>
      <c r="C113" s="141"/>
      <c r="D113" s="146">
        <f>IF($D$112=0,0,D112/$D$112)</f>
        <v>1</v>
      </c>
      <c r="E113" s="146">
        <f>IF($D$112=0,0,E112/$D$112)</f>
        <v>0.27272727272727271</v>
      </c>
      <c r="F113" s="146">
        <f>IF($D$112=0,0,F112/$D$112)</f>
        <v>0.5</v>
      </c>
      <c r="G113" s="146">
        <f>IF($D$112=0,0,G112/$D$112)</f>
        <v>4.5454545454545456E-2</v>
      </c>
      <c r="H113" s="146">
        <f>IF($D$112=0,0,H112/$D$112)</f>
        <v>9.0909090909090912E-2</v>
      </c>
      <c r="I113" s="146">
        <f>IF($D$112=0,0,I112/$D$112)</f>
        <v>9.0909090909090912E-2</v>
      </c>
      <c r="J113" s="141"/>
    </row>
  </sheetData>
  <mergeCells count="23">
    <mergeCell ref="A1:J1"/>
    <mergeCell ref="A103:J103"/>
    <mergeCell ref="A16:C16"/>
    <mergeCell ref="A9:C9"/>
    <mergeCell ref="A39:C39"/>
    <mergeCell ref="A48:C48"/>
    <mergeCell ref="A41:J41"/>
    <mergeCell ref="A64:C64"/>
    <mergeCell ref="A89:J89"/>
    <mergeCell ref="A50:J50"/>
    <mergeCell ref="A65:C65"/>
    <mergeCell ref="A76:J76"/>
    <mergeCell ref="A8:C8"/>
    <mergeCell ref="A30:J30"/>
    <mergeCell ref="A17:C17"/>
    <mergeCell ref="A38:C38"/>
    <mergeCell ref="A11:J11"/>
    <mergeCell ref="A28:C28"/>
    <mergeCell ref="A27:C27"/>
    <mergeCell ref="A19:J19"/>
    <mergeCell ref="A86:C86"/>
    <mergeCell ref="A47:C47"/>
    <mergeCell ref="A67:J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1.26년 전체 소속별 점유율</vt:lpstr>
      <vt:lpstr>2.각8개지부 현장점유율</vt:lpstr>
      <vt:lpstr>3.타워사별 점유현황</vt:lpstr>
      <vt:lpstr>4.반도체현장</vt:lpstr>
      <vt:lpstr>5.1~9월채용추이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skypcs226@naver.com</dc:creator>
  <dcterms:created xsi:type="dcterms:W3CDTF">2026-10-13T19:36:05Z</dcterms:created>
</cp:coreProperties>
</file>