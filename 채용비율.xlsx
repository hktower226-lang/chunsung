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a746bf7d834e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26년 전체 소속별 점유율" sheetId="1" r:id="R3e1053f457d943fa"/>
    <x:sheet xmlns:r="http://schemas.openxmlformats.org/officeDocument/2006/relationships" name="2.각8개지부 현장점유율" sheetId="2" r:id="R3df2097710f24f3f"/>
    <x:sheet xmlns:r="http://schemas.openxmlformats.org/officeDocument/2006/relationships" name="3.타워사별 점유현황" sheetId="3" r:id="R0e3bd4c6d0c840d5"/>
    <x:sheet xmlns:r="http://schemas.openxmlformats.org/officeDocument/2006/relationships" name="4.반도체현장" sheetId="4" r:id="Rab0994875a9b4b60"/>
    <x:sheet xmlns:r="http://schemas.openxmlformats.org/officeDocument/2006/relationships" name="5.1~9월채용추이" sheetId="5" r:id="Rc725e3da583e4bda"/>
    <x:sheet xmlns:r="http://schemas.openxmlformats.org/officeDocument/2006/relationships" name="6.월별 소속별 채용비율" sheetId="6" r:id="R3c5b08d230cb40d0"/>
  </x:sheets>
  <x:definedNames>
    <x:definedName name="가평군">#REF!</x:definedName>
    <x:definedName name="강원도">#REF!</x:definedName>
    <x:definedName name="경기도">#REF!</x:definedName>
    <x:definedName name="경상남도">#REF!</x:definedName>
    <x:definedName name="경상북도">#REF!</x:definedName>
    <x:definedName name="광산구">#REF!</x:definedName>
    <x:definedName name="광주광역시">#REF!</x:definedName>
    <x:definedName name="대구광역시">#REF!</x:definedName>
    <x:definedName name="대전광역시">#REF!</x:definedName>
    <x:definedName name="동구">#REF!</x:definedName>
    <x:definedName name="목포시">#REF!</x:definedName>
    <x:definedName name="부산광역시">#REF!</x:definedName>
    <x:definedName name="서귀포시">#REF!</x:definedName>
    <x:definedName name="서울특별시">#REF!</x:definedName>
    <x:definedName name="세종시">#REF!</x:definedName>
    <x:definedName name="시_도">#REF!</x:definedName>
    <x:definedName name="울산광역시">#REF!</x:definedName>
    <x:definedName name="인천광역시">#REF!</x:definedName>
    <x:definedName name="전라남도">#REF!</x:definedName>
    <x:definedName name="전라북도">#REF!</x:definedName>
    <x:definedName name="전주시">#REF!</x:definedName>
    <x:definedName name="제주도">#REF!</x:definedName>
    <x:definedName name="조치원읍">#REF!</x:definedName>
    <x:definedName name="종로구">#REF!</x:definedName>
    <x:definedName name="중구">#REF!</x:definedName>
    <x:definedName name="창원시">#REF!</x:definedName>
    <x:definedName name="천안시">#REF!</x:definedName>
    <x:definedName name="청주시">#REF!</x:definedName>
    <x:definedName name="춘천시">#REF!</x:definedName>
    <x:definedName name="충청남도">#REF!</x:definedName>
    <x:definedName name="충청북도">#REF!</x:definedName>
    <x:definedName name="포항시">#REF!</x:definedName>
  </x:definedNames>
</x:workbook>
</file>

<file path=xl/sharedStrings.xml><?xml version="1.0" encoding="utf-8"?>
<x:sst xmlns:x="http://schemas.openxmlformats.org/spreadsheetml/2006/main">
  <x:si>
    <x:t xml:space="preserve">1.26년 전체 소속별 점유율 (통계제외 현장 제외)</x:t>
  </x:si>
  <x:si>
    <x:t xml:space="preserve">소속</x:t>
  </x:si>
  <x:si>
    <x:t xml:space="preserve">한노</x:t>
  </x:si>
  <x:si>
    <x:t xml:space="preserve">민노</x:t>
  </x:si>
  <x:si>
    <x:t xml:space="preserve">섬유</x:t>
  </x:si>
  <x:si>
    <x:t xml:space="preserve">건산</x:t>
  </x:si>
  <x:si>
    <x:t xml:space="preserve">직원</x:t>
  </x:si>
  <x:si>
    <x:t xml:space="preserve">미정</x:t>
  </x:si>
  <x:si>
    <x:t xml:space="preserve">합계</x:t>
  </x:si>
  <x:si>
    <x:t xml:space="preserve">비율</x:t>
  </x:si>
  <x:si>
    <x:t xml:space="preserve">전체</x:t>
  </x:si>
  <x:si>
    <x:t xml:space="preserve">100%</x:t>
  </x:si>
  <x:si>
    <x:t xml:space="preserve">2.경기지역본부 현장 점유율 현황</x:t>
  </x:si>
  <x:si>
    <x:t xml:space="preserve">지부</x:t>
  </x:si>
  <x:si>
    <x:t xml:space="preserve">현장명</x:t>
  </x:si>
  <x:si>
    <x:t xml:space="preserve">타워회사</x:t>
  </x:si>
  <x:si>
    <x:t xml:space="preserve">특이사항</x:t>
  </x:si>
  <x:si>
    <x:t xml:space="preserve">총대수</x:t>
  </x:si>
  <x:si>
    <x:t xml:space="preserve">비고</x:t>
  </x:si>
  <x:si>
    <x:t xml:space="preserve">북부</x:t>
  </x:si>
  <x:si>
    <x:t xml:space="preserve">복정동 한라건설</x:t>
  </x:si>
  <x:si>
    <x:t xml:space="preserve">주식회사 백산렌탈</x:t>
  </x:si>
  <x:si>
    <x:t xml:space="preserve">성남동원건설</x:t>
  </x:si>
  <x:si>
    <x:t xml:space="preserve">(주)대원타워렌탈</x:t>
  </x:si>
  <x:si>
    <x:t xml:space="preserve">제3판교 테크노밸리 상업 1-2,3블럭 업무시설 신축공사(동원건설산업)</x:t>
  </x:si>
  <x:si>
    <x:t xml:space="preserve">북부지부 소계</x:t>
  </x:si>
  <x:si>
    <x:t xml:space="preserve">소계퍼센테이지</x:t>
  </x:si>
  <x:si>
    <x:t xml:space="preserve">남부</x:t>
  </x:si>
  <x:si>
    <x:t xml:space="preserve">동탄2 태영건설</x:t>
  </x:si>
  <x:si>
    <x:t xml:space="preserve">오투기계산업(주)</x:t>
  </x:si>
  <x:si>
    <x:t xml:space="preserve">동탄2 대우건설(국영)</x:t>
  </x:si>
  <x:si>
    <x:t xml:space="preserve">(주)국영타워랜드</x:t>
  </x:si>
  <x:si>
    <x:t xml:space="preserve">동탄2 대우건설(동양)</x:t>
  </x:si>
  <x:si>
    <x:t xml:space="preserve">(주)동양타워엔지니어링</x:t>
  </x:si>
  <x:si>
    <x:t xml:space="preserve">동탄2 한토</x:t>
  </x:si>
  <x:si>
    <x:t xml:space="preserve">국제산업렌탈(주)</x:t>
  </x:si>
  <x:si>
    <x:t xml:space="preserve">평택브레인시티 동원</x:t>
  </x:si>
  <x:si>
    <x:t xml:space="preserve">(주)우성건설기계</x:t>
  </x:si>
  <x:si>
    <x:t xml:space="preserve">평택고덕 대우건설(썬타워)</x:t>
  </x:si>
  <x:si>
    <x:t xml:space="preserve">(주)썬타워</x:t>
  </x:si>
  <x:si>
    <x:t xml:space="preserve">평택고덕 대우건설(한산타워)</x:t>
  </x:si>
  <x:si>
    <x:t xml:space="preserve">주식회사 한산타워</x:t>
  </x:si>
  <x:si>
    <x:t xml:space="preserve">화양지구 쌍용</x:t>
  </x:si>
  <x:si>
    <x:t xml:space="preserve">(주)예림타워</x:t>
  </x:si>
  <x:si>
    <x:t xml:space="preserve">안성농심</x:t>
  </x:si>
  <x:si>
    <x:t xml:space="preserve">(주)오성산업</x:t>
  </x:si>
  <x:si>
    <x:t xml:space="preserve">안성건영</x:t>
  </x:si>
  <x:si>
    <x:t xml:space="preserve">(주)중앙티씨렌탈</x:t>
  </x:si>
  <x:si>
    <x:t xml:space="preserve">화성동탄 c-27블럭</x:t>
  </x:si>
  <x:si>
    <x:t xml:space="preserve">주식회사 우정타워</x:t>
  </x:si>
  <x:si>
    <x:t xml:space="preserve">63블럭 금호</x:t>
  </x:si>
  <x:si>
    <x:t xml:space="preserve">탑랜드</x:t>
  </x:si>
  <x:si>
    <x:t xml:space="preserve">평택고덕 금호건설 64bl</x:t>
  </x:si>
  <x:si>
    <x:t xml:space="preserve">정호개발주식회사</x:t>
  </x:si>
  <x:si>
    <x:t xml:space="preserve">평택 고덕국제화계획지구 Abc-36BL 공동주택 신축공사</x:t>
  </x:si>
  <x:si>
    <x:t xml:space="preserve">평택 고덕국제신도시 A-67BL 공동주택 신축공사</x:t>
  </x:si>
  <x:si>
    <x:t xml:space="preserve">주식회사 현성건설</x:t>
  </x:si>
  <x:si>
    <x:t xml:space="preserve">평택고덕 ABC-61BL 공동주택 신축공사</x:t>
  </x:si>
  <x:si>
    <x:t xml:space="preserve">주식회사월드타워</x:t>
  </x:si>
  <x:si>
    <x:t xml:space="preserve">화성능동 A-1BL 공공지원 민간임대리츠</x:t>
  </x:si>
  <x:si>
    <x:t xml:space="preserve">3.타워(렌탈)사별 점유 현황 (통계제외 제외)</x:t>
  </x:si>
  <x:si>
    <x:t xml:space="preserve">타워사</x:t>
  </x:si>
  <x:si>
    <x:t xml:space="preserve">현장수</x:t>
  </x:si>
  <x:si>
    <x:t xml:space="preserve">기타</x:t>
  </x:si>
  <x:si>
    <x:t xml:space="preserve">한노점유율</x:t>
  </x:si>
  <x:si>
    <x:t xml:space="preserve">주식회사 비엠케이</x:t>
  </x:si>
  <x:si>
    <x:t xml:space="preserve">벽산중기산업주식회사</x:t>
  </x:si>
  <x:si>
    <x:t xml:space="preserve">(주)한백산업</x:t>
  </x:si>
  <x:si>
    <x:t xml:space="preserve">(주)규람타워렌탈</x:t>
  </x:si>
  <x:si>
    <x:t xml:space="preserve">주식회사 화성건기</x:t>
  </x:si>
  <x:si>
    <x:t xml:space="preserve">(주)신화중공업</x:t>
  </x:si>
  <x:si>
    <x:t xml:space="preserve">주식회사 가람타워</x:t>
  </x:si>
  <x:si>
    <x:t xml:space="preserve">(주)야후건기</x:t>
  </x:si>
  <x:si>
    <x:t xml:space="preserve">뉴월드타워 주식회사</x:t>
  </x:si>
  <x:si>
    <x:t xml:space="preserve">(주)우리기계산업</x:t>
  </x:si>
  <x:si>
    <x:t xml:space="preserve">(주)진성타워</x:t>
  </x:si>
  <x:si>
    <x:t xml:space="preserve">주식회사 한불타워</x:t>
  </x:si>
  <x:si>
    <x:t xml:space="preserve">(주)무기타워렌탈</x:t>
  </x:si>
  <x:si>
    <x:t xml:space="preserve">(주)타워링</x:t>
  </x:si>
  <x:si>
    <x:t xml:space="preserve">(주)타워랜드</x:t>
  </x:si>
  <x:si>
    <x:t xml:space="preserve">신우개발(주)</x:t>
  </x:si>
  <x:si>
    <x:t xml:space="preserve">주식회사 삼진타워</x:t>
  </x:si>
  <x:si>
    <x:t xml:space="preserve">(주)한진</x:t>
  </x:si>
  <x:si>
    <x:t xml:space="preserve">주식회사 필웍스</x:t>
  </x:si>
  <x:si>
    <x:t xml:space="preserve">(주)남산공영</x:t>
  </x:si>
  <x:si>
    <x:t xml:space="preserve">(주)금강건기</x:t>
  </x:si>
  <x:si>
    <x:t xml:space="preserve">(주)유건설 (단종계약)</x:t>
  </x:si>
  <x:si>
    <x:t xml:space="preserve">(주)제이에스글로벌산업</x:t>
  </x:si>
  <x:si>
    <x:t xml:space="preserve">반도체 현장 타워크레인 설치 및 노조별 대수 현황</x:t>
  </x:si>
  <x:si>
    <x:t xml:space="preserve">■ 임대사: 신우개발(주)   |   ■ 비고: 야간 수치 미적용</x:t>
  </x:si>
  <x:si>
    <x:t xml:space="preserve">1. 반도체 현장 전체 대수 비교 (노조별 총합)</x:t>
  </x:si>
  <x:si>
    <x:t xml:space="preserve">전체 대수</x:t>
  </x:si>
  <x:si>
    <x:t xml:space="preserve">한국노총</x:t>
  </x:si>
  <x:si>
    <x:t xml:space="preserve">민주노총</x:t>
  </x:si>
  <x:si>
    <x:t xml:space="preserve">건설노조(건산,섬유)</x:t>
  </x:si>
  <x:si>
    <x:t xml:space="preserve">비노조</x:t>
  </x:si>
  <x:si>
    <x:t xml:space="preserve">점유율</x:t>
  </x:si>
  <x:si>
    <x:t xml:space="preserve">2. 각 현장별 타워크레인 대수 및 노조별 상세 현황</x:t>
  </x:si>
  <x:si>
    <x:t xml:space="preserve">No.</x:t>
  </x:si>
  <x:si>
    <x:t xml:space="preserve">전체대수</x:t>
  </x:si>
  <x:si>
    <x:t xml:space="preserve">건설노조
(건산,섬유)</x:t>
  </x:si>
  <x:si>
    <x:t xml:space="preserve">*반도체 현장 파악 담당자</x:t>
  </x:si>
  <x:si>
    <x:t xml:space="preserve">평택 삼성 반도체 P5복합동</x:t>
  </x:si>
  <x:si>
    <x:t xml:space="preserve">서상일 010-6371-1575</x:t>
  </x:si>
  <x:si>
    <x:t xml:space="preserve">평택삼성 P5 FAB동 1차구간</x:t>
  </x:si>
  <x:si>
    <x:t xml:space="preserve">홍영종 010-8269-9115</x:t>
  </x:si>
  <x:si>
    <x:t xml:space="preserve">평택삼성 P5 FAB동 2차구간</x:t>
  </x:si>
  <x:si>
    <x:t xml:space="preserve">장수영 010-7744-7746</x:t>
  </x:si>
  <x:si>
    <x:t xml:space="preserve">평택삼성 P4 대기방지(배정완료)</x:t>
  </x:si>
  <x:si>
    <x:t xml:space="preserve">현장배정마감 </x:t>
  </x:si>
  <x:si>
    <x:t xml:space="preserve">p4 복합동(배정완료)</x:t>
  </x:si>
  <x:si>
    <x:t xml:space="preserve">기흥 NRD K2</x:t>
  </x:si>
  <x:si>
    <x:t xml:space="preserve">민주식 010-4870-9982</x:t>
  </x:si>
  <x:si>
    <x:t xml:space="preserve">용인 SK하이닉스 FAB동</x:t>
  </x:si>
  <x:si>
    <x:t xml:space="preserve">정성욱 010-8965-4560</x:t>
  </x:si>
  <x:si>
    <x:t xml:space="preserve">용인 하이닉스 PH4 CUB동</x:t>
  </x:si>
  <x:si>
    <x:t xml:space="preserve">진두영 010-4179-2617</x:t>
  </x:si>
  <x:si>
    <x:t xml:space="preserve">용인 SK PH4 FAB동</x:t>
  </x:si>
  <x:si>
    <x:t xml:space="preserve">최영길 010-7409-0253</x:t>
  </x:si>
  <x:si>
    <x:t xml:space="preserve">삼성p5 그린동</x:t>
  </x:si>
  <x:si>
    <x:t xml:space="preserve">1월 채용 현황</x:t>
  </x:si>
  <x:si>
    <x:t xml:space="preserve">임대사</x:t>
  </x:si>
  <x:si>
    <x:t xml:space="preserve">원청사</x:t>
  </x:si>
  <x:si>
    <x:t xml:space="preserve">기타(건산섬유)</x:t>
  </x:si>
  <x:si>
    <x:t xml:space="preserve">현대건설(주)</x:t>
  </x:si>
  <x:si>
    <x:t xml:space="preserve">디에이치아델스타</x:t>
  </x:si>
  <x:si>
    <x:t xml:space="preserve">비율 (총대수=100%)</x:t>
  </x:si>
  <x:si>
    <x:t xml:space="preserve">2월 채용 현황</x:t>
  </x:si>
  <x:si>
    <x:t xml:space="preserve">에이치디씨현대산업개발(주)</x:t>
  </x:si>
  <x:si>
    <x:t xml:space="preserve">호현센트럴아이파크</x:t>
  </x:si>
  <x:si>
    <x:t xml:space="preserve">(주)태영건설</x:t>
  </x:si>
  <x:si>
    <x:t xml:space="preserve">동탄꿈의숲자연앤데시앙</x:t>
  </x:si>
  <x:si>
    <x:t xml:space="preserve">3월 채용 현황</x:t>
  </x:si>
  <x:si>
    <x:t xml:space="preserve">쌍용건설(주)</x:t>
  </x:si>
  <x:si>
    <x:t xml:space="preserve">더플래티넘파인애비뉴</x:t>
  </x:si>
  <x:si>
    <x:t xml:space="preserve">강산건설(주)</x:t>
  </x:si>
  <x:si>
    <x:t xml:space="preserve">시화MTV 지하주차장</x:t>
  </x:si>
  <x:si>
    <x:t xml:space="preserve">농심엔지니어링(주)</x:t>
  </x:si>
  <x:si>
    <x:t xml:space="preserve">안성 장계리 물류센터 신축현장</x:t>
  </x:si>
  <x:si>
    <x:t xml:space="preserve">에이치엘디앤아이한라(주)</x:t>
  </x:si>
  <x:si>
    <x:t xml:space="preserve">복정역에피트</x:t>
  </x:si>
  <x:si>
    <x:t xml:space="preserve">4월 채용 현황</x:t>
  </x:si>
  <x:si>
    <x:t xml:space="preserve">(주)대우건설</x:t>
  </x:si>
  <x:si>
    <x:t xml:space="preserve">동탄포레파크자연앤푸르지오</x:t>
  </x:si>
  <x:si>
    <x:t xml:space="preserve">삼성물산(주)</x:t>
  </x:si>
  <x:si>
    <x:t xml:space="preserve">안산 글로벌클라우드 센터</x:t>
  </x:si>
  <x:si>
    <x:t xml:space="preserve">프로젝트 TIMBUKTU</x:t>
  </x:si>
  <x:si>
    <x:t xml:space="preserve">평택고덕A-56BL</x:t>
  </x:si>
  <x:si>
    <x:t xml:space="preserve">5월 채용 현황</x:t>
  </x:si>
  <x:si>
    <x:t xml:space="preserve">서수원에피트센트럴마크M2블록</x:t>
  </x:si>
  <x:si>
    <x:t xml:space="preserve">계룡건설산업(주)</x:t>
  </x:si>
  <x:si>
    <x:t xml:space="preserve">엘리프한신더휴수원C3블록</x:t>
  </x:si>
  <x:si>
    <x:t xml:space="preserve">한신공영(주)</x:t>
  </x:si>
  <x:si>
    <x:t xml:space="preserve">엘리프한신더휴수원D3블록</x:t>
  </x:si>
  <x:si>
    <x:t xml:space="preserve">6월 채용 현황</x:t>
  </x:si>
  <x:si>
    <x:t xml:space="preserve">시흥하중지구A4블록신혼희망타운</x:t>
  </x:si>
  <x:si>
    <x:t xml:space="preserve">(주)동원개발</x:t>
  </x:si>
  <x:si>
    <x:t xml:space="preserve">브레인시티비스타동원</x:t>
  </x:si>
  <x:si>
    <x:t xml:space="preserve">(주)보미건설</x:t>
  </x:si>
  <x:si>
    <x:t xml:space="preserve">더샘병원</x:t>
  </x:si>
  <x:si>
    <x:t xml:space="preserve">두산건설(주)</x:t>
  </x:si>
  <x:si>
    <x:t xml:space="preserve">두산위브더센트럴수원</x:t>
  </x:si>
  <x:si>
    <x:t xml:space="preserve">(주)그린시티건설</x:t>
  </x:si>
  <x:si>
    <x:t xml:space="preserve">의왕청계역시티프라디움하모니아</x:t>
  </x:si>
  <x:si>
    <x:t xml:space="preserve">에스엠스틸(주) 건설부문</x:t>
  </x:si>
  <x:si>
    <x:t xml:space="preserve">클러스터용인경남아너스빌</x:t>
  </x:si>
  <x:si>
    <x:t xml:space="preserve">에스지씨이앤씨(주)</x:t>
  </x:si>
  <x:si>
    <x:t xml:space="preserve">군포대야미A-2BL신혼희망타운</x:t>
  </x:si>
  <x:si>
    <x:t xml:space="preserve">용인푸르지오원클러스터파크</x:t>
  </x:si>
  <x:si>
    <x:t xml:space="preserve">(주)태왕이앤씨</x:t>
  </x:si>
  <x:si>
    <x:t xml:space="preserve">과천주암C1블록</x:t>
  </x:si>
  <x:si>
    <x:t xml:space="preserve">디엘이앤씨(주)</x:t>
  </x:si>
  <x:si>
    <x:t xml:space="preserve">안양에버포레자연&amp;e편한세상</x:t>
  </x:si>
  <x:si>
    <x:t xml:space="preserve">(주)한토건설</x:t>
  </x:si>
  <x:si>
    <x:t xml:space="preserve">동탄그웬160</x:t>
  </x:si>
  <x:si>
    <x:t xml:space="preserve">7월 채용 현황</x:t>
  </x:si>
  <x:si>
    <x:t xml:space="preserve">용인푸르지오클루센트</x:t>
  </x:si>
  <x:si>
    <x:t xml:space="preserve">㈜유건설 단종계약</x:t>
  </x:si>
  <x:si>
    <x:t xml:space="preserve">혜우이엔씨㈜</x:t>
  </x:si>
  <x:si>
    <x:t xml:space="preserve">관양동주상복합</x:t>
  </x:si>
  <x:si>
    <x:t xml:space="preserve">고덕종합건설</x:t>
  </x:si>
  <x:si>
    <x:t xml:space="preserve">기흥변전소</x:t>
  </x:si>
  <x:si>
    <x:t xml:space="preserve">(주)한양건설</x:t>
  </x:si>
  <x:si>
    <x:t xml:space="preserve">한양립스</x:t>
  </x:si>
  <x:si>
    <x:t xml:space="preserve">8월 채용 현황</x:t>
  </x:si>
  <x:si>
    <x:t xml:space="preserve">안양역센트럴아이파크수자인</x:t>
  </x:si>
  <x:si>
    <x:t xml:space="preserve">배곧서울대학교병원</x:t>
  </x:si>
  <x:si>
    <x:t xml:space="preserve">동원건설산업(주)</x:t>
  </x:si>
  <x:si>
    <x:t xml:space="preserve">제3판교 테크노밸리 상업 1-2,3블럭 업무시설</x:t>
  </x:si>
  <x:si>
    <x:t xml:space="preserve">대방산업개발(주)</x:t>
  </x:si>
  <x:si>
    <x:t xml:space="preserve">시흥거모지구대방엘리움더루체I</x:t>
  </x:si>
  <x:si>
    <x:t xml:space="preserve">금호건설(주)</x:t>
  </x:si>
  <x:si>
    <x:t xml:space="preserve">고덕신도시아테라</x:t>
  </x:si>
  <x:si>
    <x:t xml:space="preserve">라온건설(주)</x:t>
  </x:si>
  <x:si>
    <x:t xml:space="preserve">용인플랫폼시티라온프라이빗아르디에</x:t>
  </x:si>
  <x:si>
    <x:t xml:space="preserve">9월 채용 현황</x:t>
  </x:si>
  <x:si>
    <x:t xml:space="preserve">우미건설(주)</x:t>
  </x:si>
  <x:si>
    <x:t xml:space="preserve">평택고덕우미린프레스티지</x:t>
  </x:si>
  <x:si>
    <x:t xml:space="preserve">미정 1대 (배정 미확정)</x:t>
  </x:si>
  <x:si>
    <x:t xml:space="preserve">(주)포스코이앤씨</x:t>
  </x:si>
  <x:si>
    <x:t xml:space="preserve">경기도 여주시 홍문동 홍문2지구 공동주택 신축공사</x:t>
  </x:si>
  <x:si>
    <x:t xml:space="preserve">이수건설(주)</x:t>
  </x:si>
  <x:si>
    <x:t xml:space="preserve">시흥하중A1BL</x:t>
  </x:si>
  <x:si>
    <x:t xml:space="preserve">동부건설(주)</x:t>
  </x:si>
  <x:si>
    <x:t xml:space="preserve">용인클러스터 상생협력시설(기숙사 1차)</x:t>
  </x:si>
  <x:si>
    <x:t xml:space="preserve">미정 3대 (배정 미확정)</x:t>
  </x:si>
  <x:si>
    <x:t xml:space="preserve">미정 2대 (배정 미확정)</x:t>
  </x:si>
  <x:si>
    <x:t xml:space="preserve">용인덕성 AI데이터센터</x:t>
  </x:si>
  <x:si>
    <x:t xml:space="preserve">(주)서희건설</x:t>
  </x:si>
  <x:si>
    <x:t xml:space="preserve">화성비봉 지역주택조합 아파트 신축공사</x:t>
  </x:si>
  <x:si>
    <x:t xml:space="preserve">기타(비고에 작성)</x:t>
  </x:si>
  <x:si>
    <x:t xml:space="preserve">수원 친환경 에너지 개선공사</x:t>
  </x:si>
  <x:si>
    <x:t xml:space="preserve">지에스건설(주)</x:t>
  </x:si>
  <x:si>
    <x:t xml:space="preserve">수지자이에디시온</x:t>
  </x:si>
  <x:si>
    <x:t xml:space="preserve">삼성이앤에이(주)</x:t>
  </x:si>
  <x:si>
    <x:t xml:space="preserve">오산 AMK R&amp;D</x:t>
  </x:si>
  <x:si>
    <x:t xml:space="preserve">※ 미정 12대 아직 미반영 (인력 확정 시 비율 변동)</x:t>
  </x:si>
  <x:si>
    <x:t xml:space="preserve">10월 채용 현황</x:t>
  </x:si>
  <x:si>
    <x:t xml:space="preserve">(주)모아주택산업, (주)로제비앙건설</x:t>
  </x:si>
  <x:si>
    <x:t xml:space="preserve">시흥거모 B-6BL 모아엘가&amp;대광로제비앙 공동주택 신축공사</x:t>
  </x:si>
  <x:si>
    <x:t xml:space="preserve">주식회사 필윅스</x:t>
  </x:si>
  <x:si>
    <x:t xml:space="preserve">(주)호반건설</x:t>
  </x:si>
  <x:si>
    <x:t xml:space="preserve">시흥시 거모지구 B-1블록 공동주택 신축공사</x:t>
  </x:si>
  <x:si>
    <x:t xml:space="preserve">(주)대원</x:t>
  </x:si>
  <x:si>
    <x:t xml:space="preserve">이천 증포5지구 칸타빌 에듀파크 신축공사</x:t>
  </x:si>
  <x:si>
    <x:r>
      <x:t xml:space="preserve">(</x:t>
    </x:r>
    <x:r>
      <x:rPr>
        <x:sz val="11"/>
        <x:color rgb="FF000000"/>
        <x:rFont val="맑은 고딕"/>
        <x:family val="3"/>
      </x:rPr>
      <x:t xml:space="preserve">주</x:t>
    </x:r>
    <x:r>
      <x:rPr>
        <x:sz val="11"/>
        <x:color rgb="FF000000"/>
        <x:rFont val="Arial"/>
        <x:family val="2"/>
      </x:rPr>
      <x:t xml:space="preserve">)</x:t>
    </x:r>
    <x:r>
      <x:rPr>
        <x:sz val="11"/>
        <x:color rgb="FF000000"/>
        <x:rFont val="맑은 고딕"/>
        <x:family val="3"/>
      </x:rPr>
      <x:t xml:space="preserve">남산공영</x:t>
    </x:r>
  </x:si>
  <x:si>
    <x:t xml:space="preserve">오산세교2지구 M1블록 민간임대 주상복합 신축공사</x:t>
  </x:si>
  <x:si>
    <x:t xml:space="preserve">대보건설(주)</x:t>
  </x:si>
  <x:si>
    <x:t xml:space="preserve">제일건설(주)</x:t>
  </x:si>
  <x:si>
    <x:t xml:space="preserve">오산세교우미린레이크시티</x:t>
  </x:si>
  <x:si>
    <x:t xml:space="preserve">효성중공업(주)</x:t>
  </x:si>
  <x:si>
    <x:t xml:space="preserve">경안2지구 도시개발사업 주상복합 신축공사</x:t>
  </x:si>
</x:sst>
</file>

<file path=xl/styles.xml><?xml version="1.0" encoding="utf-8"?>
<x:styleSheet xmlns:x="http://schemas.openxmlformats.org/spreadsheetml/2006/main">
  <x:numFmts count="2">
    <x:numFmt numFmtId="176" formatCode="0.0%"/>
    <x:numFmt numFmtId="200" formatCode="0"/>
  </x:numFmts>
  <x:fonts count="67">
    <x:font>
      <x:sz val="11"/>
      <x:color theme="1"/>
      <x:name val="맑은 고딕"/>
    </x:font>
    <x:font>
      <x:sz val="11"/>
      <x:color theme="1"/>
      <x:name val="맑은 고딕"/>
    </x:font>
    <x:font>
      <x:sz val="11"/>
      <x:color rgb="FFFF0000"/>
      <x:name val="맑은 고딕"/>
    </x:font>
    <x:font>
      <x:b/>
      <x:sz val="10"/>
      <x:color rgb="FFFFFFFF"/>
      <x:name val="맑은 고딕"/>
    </x:font>
    <x:font>
      <x:b/>
      <x:sz val="10"/>
      <x:color rgb="FFFFFFFF"/>
      <x:name val="Noto Sans CJK SC"/>
    </x:font>
    <x:font>
      <x:b/>
      <x:sz val="10"/>
      <x:name val="Noto Sans CJK SC"/>
    </x:font>
    <x:font>
      <x:b/>
      <x:sz val="10"/>
      <x:name val="Arial"/>
    </x:font>
    <x:font>
      <x:sz val="10"/>
      <x:name val="Noto Sans CJK SC"/>
    </x:font>
    <x:font>
      <x:sz val="10"/>
      <x:name val="Arial"/>
    </x:font>
    <x:font>
      <x:b/>
      <x:sz val="13"/>
      <x:color rgb="FFFFFFFF"/>
      <x:name val="Noto Sans CJK SC"/>
    </x:font>
    <x:font>
      <x:i/>
      <x:sz val="10"/>
      <x:color rgb="FF999999"/>
      <x:name val="Arial"/>
    </x:font>
    <x:font>
      <x:i/>
      <x:sz val="10"/>
      <x:color rgb="FF999999"/>
      <x:name val="Noto Sans CJK SC"/>
    </x:font>
    <x:font>
      <x:sz val="10"/>
      <x:color rgb="FFB45309"/>
      <x:name val="Noto Sans CJK SC"/>
    </x:font>
    <x:font>
      <x:b/>
      <x:sz val="14"/>
      <x:color rgb="FFFFFFFF"/>
      <x:name val="Noto Sans CJK SC"/>
    </x:font>
    <x:font>
      <x:sz val="10"/>
      <x:color rgb="FFFF0000"/>
      <x:name val="Arial"/>
    </x:font>
    <x:font>
      <x:b/>
      <x:sz val="16"/>
      <x:color rgb="FF1F497D"/>
      <x:name val="맑은 고딕"/>
    </x:font>
    <x:font>
      <x:b/>
      <x:sz val="10"/>
      <x:color rgb="FF595959"/>
      <x:name val="맑은 고딕"/>
    </x:font>
    <x:font>
      <x:b/>
      <x:sz val="12"/>
      <x:color rgb="FF000000"/>
      <x:name val="맑은 고딕"/>
    </x:font>
    <x:font>
      <x:b/>
      <x:sz val="11"/>
      <x:color rgb="FFFFFFFF"/>
      <x:name val="맑은 고딕"/>
    </x:font>
    <x:font>
      <x:b/>
      <x:sz val="11"/>
      <x:name val="맑은 고딕"/>
    </x:font>
    <x:font>
      <x:b/>
      <x:sz val="10"/>
      <x:name val="맑은 고딕"/>
    </x:font>
    <x:font>
      <x:sz val="10"/>
      <x:name val="맑은 고딕"/>
    </x:font>
    <x:font>
      <x:sz val="9"/>
      <x:color rgb="FF595959"/>
      <x:name val="맑은 고딕"/>
    </x:font>
    <x:font>
      <x:b/>
      <x:sz val="12"/>
      <x:color rgb="FFFFFFFF"/>
      <x:name val="맑은 고딕"/>
    </x:font>
    <x:font>
      <x:b/>
      <x:sz val="11"/>
      <x:color rgb="FFFFFFFF"/>
      <x:name val="Noto Sans CJK SC"/>
    </x:font>
    <x:font>
      <x:b/>
      <x:sz val="11"/>
      <x:name val="Noto Sans CJK SC"/>
    </x:font>
    <x:font>
      <x:b/>
      <x:sz val="11"/>
      <x:color rgb="FF1F3864"/>
      <x:name val="맑은 고딕"/>
    </x:font>
    <x:font>
      <x:b/>
      <x:sz val="10"/>
      <x:color rgb="FFC00000"/>
      <x:name val="맑은 고딕"/>
    </x:font>
    <x:font>
      <x:sz val="9"/>
      <x:color rgb="FFC00000"/>
      <x:name val="Noto Sans CJK SC"/>
    </x:font>
    <x:font>
      <x:b/>
      <x:sz val="10"/>
      <x:color rgb="FFC00000"/>
      <x:name val="Noto Sans CJK SC"/>
    </x:font>
    <x:font>
      <x:sz val="9"/>
      <x:color rgb="FF000000"/>
      <x:name val="맑은 고딕"/>
    </x:font>
    <x:font>
      <x:sz val="9"/>
      <x:color rgb="FF9C6500"/>
      <x:name val="맑은 고딕"/>
    </x:font>
    <x:font>
      <x:sz val="11"/>
      <x:color rgb="FF000000"/>
      <x:name val="맑은 고딕"/>
    </x:font>
    <x:font>
      <x:i/>
      <x:sz val="11"/>
      <x:color rgb="FF000000"/>
      <x:name val="맑은 고딕"/>
    </x:font>
    <x:font>
      <x:b/>
      <x:sz val="10"/>
      <x:color rgb="FF000000"/>
      <x:name val="Noto Sans CJK SC"/>
    </x:font>
    <x:font>
      <x:sz val="10"/>
      <x:color rgb="FF000000"/>
      <x:name val="맑은 고딕"/>
    </x:font>
    <x:font>
      <x:sz val="11"/>
      <x:color rgb="FF000000"/>
      <x:name val="맑은 고딕"/>
    </x:font>
    <x:font>
      <x:sz val="11"/>
      <x:color rgb="FF000000"/>
      <x:name val="Noto Sans CJK SC"/>
    </x:font>
    <x:font>
      <x:sz val="10"/>
      <x:color rgb="FF000000"/>
      <x:name val="Noto Sans CJK SC"/>
    </x:font>
    <x:font>
      <x:sz val="12"/>
      <x:color rgb="FF000000"/>
      <x:name val="맑은 고딕"/>
    </x:font>
    <x:font>
      <x:b/>
      <x:sz val="10"/>
      <x:color rgb="FF000000"/>
      <x:name val="Arial"/>
    </x:font>
    <x:font>
      <x:b/>
      <x:i/>
      <x:sz val="10"/>
      <x:color rgb="FF000000"/>
      <x:name val="Noto Sans CJK SC"/>
    </x:font>
    <x:font>
      <x:sz val="11"/>
      <x:color rgb="FFFF0000"/>
      <x:name val="맑은 고딕"/>
    </x:font>
    <x:font>
      <x:i/>
      <x:sz val="11"/>
      <x:color rgb="FFFF0000"/>
      <x:name val="맑은 고딕"/>
    </x:font>
    <x:font>
      <x:b/>
      <x:sz val="9"/>
      <x:color rgb="FFFFFFFF"/>
      <x:name val="Noto Sans CJK SC"/>
    </x:font>
    <x:font>
      <x:b/>
      <x:sz val="11"/>
      <x:color theme="1"/>
      <x:name val="맑은 고딕"/>
    </x:font>
    <x:font>
      <x:b/>
      <x:sz val="10"/>
      <x:color rgb="FFFF0000"/>
      <x:name val="Arial"/>
    </x:font>
    <x:font>
      <x:b/>
      <x:sz val="11"/>
      <x:color rgb="FFFF0000"/>
      <x:name val="맑은 고딕"/>
    </x:font>
    <x:font>
      <x:b/>
      <x:i/>
      <x:sz val="10"/>
      <x:color rgb="FF999999"/>
      <x:name val="Arial"/>
    </x:font>
    <x:font>
      <x:b/>
      <x:sz val="11"/>
      <x:color rgb="FF000000"/>
      <x:name val="맑은 고딕"/>
    </x:font>
    <x:font>
      <x:b/>
      <x:i/>
      <x:sz val="11"/>
      <x:color rgb="FF000000"/>
      <x:name val="맑은 고딕"/>
    </x:font>
    <x:font>
      <x:b/>
      <x:i/>
      <x:sz val="10"/>
      <x:color rgb="FF999999"/>
      <x:name val="Noto Sans CJK SC"/>
    </x:font>
    <x:font>
      <x:b/>
      <x:sz val="10"/>
      <x:color rgb="FFB45309"/>
      <x:name val="Noto Sans CJK SC"/>
    </x:font>
    <x:font>
      <x:sz val="10"/>
      <x:name val="Noto Sans CJK SC"/>
    </x:font>
    <x:font>
      <x:sz val="11"/>
      <x:color theme="1"/>
      <x:name val="맑은 고딕"/>
    </x:font>
    <x:font>
      <x:sz val="10"/>
      <x:color rgb="FFB45309"/>
      <x:name val="Noto Sans CJK SC"/>
    </x:font>
    <x:font>
      <x:i/>
      <x:sz val="10"/>
      <x:color rgb="FF999999"/>
      <x:name val="Noto Sans CJK SC"/>
    </x:font>
    <x:font>
      <x:sz val="11"/>
      <x:color rgb="FF000000"/>
      <x:name val="맑은 고딕"/>
    </x:font>
    <x:font>
      <x:b/>
      <x:sz val="10"/>
      <x:color theme="1"/>
      <x:name val="Noto Sans CJK SC"/>
    </x:font>
    <x:font>
      <x:sz val="11"/>
      <x:color rgb="FF000000"/>
      <x:name val="맑은 고딕"/>
    </x:font>
    <x:font>
      <x:sz val="11"/>
      <x:color rgb="FF000000"/>
      <x:name val="Arial"/>
    </x:font>
    <x:font>
      <x:b/>
      <x:sz val="17"/>
      <x:color rgb="FFFFFFFF"/>
      <x:name val="맑은 고딕"/>
    </x:font>
    <x:font>
      <x:sz val="10"/>
      <x:color rgb="FF41546A"/>
      <x:name val="맑은 고딕"/>
    </x:font>
    <x:font>
      <x:b/>
      <x:sz val="11"/>
      <x:color rgb="FF15304F"/>
      <x:name val="맑은 고딕"/>
    </x:font>
    <x:font>
      <x:sz val="10"/>
      <x:color rgb="FF5E6E80"/>
      <x:name val="맑은 고딕"/>
    </x:font>
    <x:font>
      <x:b/>
      <x:sz val="10"/>
      <x:color theme="1"/>
      <x:name val="맑은 고딕"/>
    </x:font>
    <x:font>
      <x:sz val="10"/>
      <x:color rgb="FF475569"/>
      <x:name val="맑은 고딕"/>
    </x:font>
  </x:fonts>
  <x:fills count="42">
    <x:fill>
      <x:patternFill patternType="none"/>
    </x:fill>
    <x:fill>
      <x:patternFill patternType="gray125"/>
    </x:fill>
    <x:fill>
      <x:patternFill patternType="solid">
        <x:fgColor rgb="FF1F2D3D"/>
      </x:patternFill>
    </x:fill>
    <x:fill>
      <x:patternFill patternType="solid">
        <x:fgColor rgb="FF3B6EA5"/>
      </x:patternFill>
    </x:fill>
    <x:fill>
      <x:patternFill patternType="solid">
        <x:fgColor rgb="FFB5483D"/>
      </x:patternFill>
    </x:fill>
    <x:fill>
      <x:patternFill patternType="solid">
        <x:fgColor rgb="FF8A5FA8"/>
      </x:patternFill>
    </x:fill>
    <x:fill>
      <x:patternFill patternType="solid">
        <x:fgColor rgb="FFC97A2E"/>
      </x:patternFill>
    </x:fill>
    <x:fill>
      <x:patternFill patternType="solid">
        <x:fgColor rgb="FF7A8389"/>
      </x:patternFill>
    </x:fill>
    <x:fill>
      <x:patternFill patternType="solid">
        <x:fgColor rgb="FF4A9168"/>
      </x:patternFill>
    </x:fill>
    <x:fill>
      <x:patternFill patternType="solid">
        <x:fgColor rgb="FFF8FAFC"/>
      </x:patternFill>
    </x:fill>
    <x:fill>
      <x:patternFill patternType="solid">
        <x:fgColor rgb="FFEFF3F8"/>
      </x:patternFill>
    </x:fill>
    <x:fill>
      <x:patternFill patternType="solid">
        <x:fgColor rgb="FF1F497D"/>
      </x:patternFill>
    </x:fill>
    <x:fill>
      <x:patternFill patternType="solid">
        <x:fgColor rgb="FFDCE6F1"/>
      </x:patternFill>
    </x:fill>
    <x:fill>
      <x:patternFill patternType="solid">
        <x:fgColor rgb="FFF2F2F2"/>
      </x:patternFill>
    </x:fill>
    <x:fill>
      <x:patternFill patternType="solid">
        <x:fgColor rgb="FF366092"/>
      </x:patternFill>
    </x:fill>
    <x:fill>
      <x:patternFill patternType="solid">
        <x:fgColor rgb="FFF9FAFB"/>
      </x:patternFill>
    </x:fill>
    <x:fill>
      <x:patternFill patternType="solid">
        <x:fgColor rgb="FFE9EDF4"/>
      </x:patternFill>
    </x:fill>
    <x:fill>
      <x:patternFill patternType="solid">
        <x:fgColor rgb="FF2F5597"/>
      </x:patternFill>
    </x:fill>
    <x:fill>
      <x:patternFill patternType="solid">
        <x:fgColor rgb="FF44546A"/>
      </x:patternFill>
    </x:fill>
    <x:fill>
      <x:patternFill patternType="solid">
        <x:fgColor rgb="FFD9E1F2"/>
      </x:patternFill>
    </x:fill>
    <x:fill>
      <x:patternFill patternType="solid">
        <x:fgColor rgb="FFFFF2CC"/>
      </x:patternFill>
    </x:fill>
    <x:fill>
      <x:patternFill patternType="solid">
        <x:fgColor rgb="FFFFE699"/>
      </x:patternFill>
    </x:fill>
    <x:fill>
      <x:patternFill patternType="solid">
        <x:fgColor rgb="FFFFEB9C"/>
      </x:patternFill>
    </x:fill>
    <x:fill>
      <x:patternFill patternType="solid">
        <x:fgColor theme="0"/>
      </x:patternFill>
    </x:fill>
    <x:fill>
      <x:patternFill patternType="solid">
        <x:fgColor theme="0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E8EEF7"/>
      </x:patternFill>
    </x:fill>
    <x:fill>
      <x:patternFill patternType="solid">
        <x:fgColor rgb="FF1F4E78"/>
      </x:patternFill>
    </x:fill>
    <x:fill>
      <x:patternFill patternType="solid">
        <x:fgColor rgb="FF44546A"/>
      </x:patternFill>
    </x:fill>
    <x:fill>
      <x:patternFill patternType="solid">
        <x:fgColor rgb="FFEFF3F8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5304F"/>
      </x:patternFill>
    </x:fill>
    <x:fill>
      <x:patternFill patternType="solid">
        <x:fgColor rgb="FFF2F6FA"/>
      </x:patternFill>
    </x:fill>
    <x:fill>
      <x:patternFill patternType="solid">
        <x:fgColor rgb="FF19426D"/>
      </x:patternFill>
    </x:fill>
    <x:fill>
      <x:patternFill patternType="solid">
        <x:fgColor rgb="FFF4F7FA"/>
      </x:patternFill>
    </x:fill>
    <x:fill>
      <x:patternFill patternType="solid">
        <x:fgColor rgb="FFE7F0F7"/>
      </x:patternFill>
    </x:fill>
    <x:fill>
      <x:patternFill patternType="solid">
        <x:fgColor rgb="FFFFF0D8"/>
      </x:patternFill>
    </x:fill>
    <x:fill>
      <x:patternFill patternType="solid">
        <x:fgColor rgb="FFE7EDF3"/>
      </x:patternFill>
    </x:fill>
  </x:fills>
  <x:borders count="15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top style="medium">
        <x:color rgb="FF000000"/>
      </x:top>
      <x:bottom style="double">
        <x:color rgb="FF000000"/>
      </x:bottom>
    </x:border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bottom style="thin">
        <x:color rgb="FFD1D5DB"/>
      </x:bottom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 style="thin">
        <x:color rgb="FF777777"/>
      </x:bottom>
    </x:border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top style="medium">
        <x:color rgb="FF000000"/>
      </x:top>
      <x:bottom style="double">
        <x:color rgb="FF00000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 style="thin">
        <x:color rgb="FF777777"/>
      </x:bottom>
    </x:border>
    <x:border>
      <x:bottom style="thin">
        <x:color rgb="FFD1D5DB"/>
      </x:bottom>
    </x:border>
  </x:borders>
  <x:cellStyleXfs count="4">
    <x:xf numFmtId="0" fontId="0" fillId="0" borderId="4">
      <x:alignment vertical="center"/>
    </x:xf>
    <x:xf numFmtId="0" fontId="1" fillId="0" borderId="4"/>
    <x:xf numFmtId="0" fontId="1" fillId="0" borderId="4"/>
    <x:xf numFmtId="0" fontId="1" fillId="0" borderId="4">
      <x:alignment vertical="center"/>
    </x:xf>
  </x:cellStyleXfs>
  <x:cellXfs count="568">
    <x:xf numFmtId="0" fontId="0" fillId="0" borderId="0" xfId="0" applyBorder="1">
      <x:alignment vertical="center"/>
    </x:xf>
    <x:xf numFmtId="0" fontId="4" fillId="2" borderId="1" xfId="0" applyFont="1" applyFill="1" applyBorder="1" applyAlignment="1">
      <x:alignment horizontal="center" vertical="center" wrapText="1"/>
    </x:xf>
    <x:xf numFmtId="0" fontId="4" fillId="3" borderId="1" xfId="0" applyFont="1" applyFill="1" applyBorder="1" applyAlignment="1">
      <x:alignment horizontal="center" vertical="center" wrapText="1"/>
    </x:xf>
    <x:xf numFmtId="0" fontId="4" fillId="4" borderId="1" xfId="0" applyFont="1" applyFill="1" applyBorder="1" applyAlignment="1">
      <x:alignment horizontal="center" vertical="center" wrapText="1"/>
    </x:xf>
    <x:xf numFmtId="0" fontId="4" fillId="5" borderId="1" xfId="0" applyFont="1" applyFill="1" applyBorder="1" applyAlignment="1">
      <x:alignment horizontal="center" vertical="center" wrapText="1"/>
    </x:xf>
    <x:xf numFmtId="0" fontId="4" fillId="6" borderId="1" xfId="0" applyFont="1" applyFill="1" applyBorder="1" applyAlignment="1">
      <x:alignment horizontal="center" vertical="center" wrapText="1"/>
    </x:xf>
    <x:xf numFmtId="0" fontId="4" fillId="7" borderId="1" xfId="0" applyFont="1" applyFill="1" applyBorder="1" applyAlignment="1">
      <x:alignment horizontal="center" vertical="center" wrapText="1"/>
    </x:xf>
    <x:xf numFmtId="0" fontId="4" fillId="8" borderId="1" xfId="0" applyFont="1" applyFill="1" applyBorder="1" applyAlignment="1">
      <x:alignment horizontal="center" vertical="center" wrapText="1"/>
    </x:xf>
    <x:xf numFmtId="0" fontId="5" fillId="0" borderId="1" xfId="0" applyFont="1" applyBorder="1" applyAlignment="1">
      <x:alignment horizontal="center" vertical="center" wrapText="1"/>
    </x:xf>
    <x:xf numFmtId="0" fontId="6" fillId="0" borderId="1" xfId="0" applyFont="1" applyBorder="1" applyAlignment="1">
      <x:alignment horizontal="center" vertical="center" wrapText="1"/>
    </x:xf>
    <x:xf numFmtId="0" fontId="7" fillId="9" borderId="1" xfId="0" applyFont="1" applyFill="1" applyBorder="1" applyAlignment="1">
      <x:alignment horizontal="center" vertical="center" wrapText="1"/>
    </x:xf>
    <x:xf numFmtId="0" fontId="7" fillId="0" borderId="1" xfId="0" applyFont="1" applyBorder="1" applyAlignment="1">
      <x:alignment horizontal="center" vertical="center" wrapText="1"/>
    </x:xf>
    <x:xf numFmtId="0" fontId="7" fillId="0" borderId="1" xfId="0" applyFont="1" applyBorder="1" applyAlignment="1">
      <x:alignment horizontal="left" vertical="center" wrapText="1"/>
    </x:xf>
    <x:xf numFmtId="0" fontId="3" fillId="8" borderId="1" xfId="0" applyFont="1" applyFill="1" applyBorder="1" applyAlignment="1">
      <x:alignment horizontal="center" vertical="center" wrapText="1"/>
    </x:xf>
    <x:xf numFmtId="0" fontId="0" fillId="0" borderId="0" xfId="0" applyBorder="1" applyAlignment="1"/>
    <x:xf numFmtId="0" fontId="18" fillId="11" borderId="0" xfId="0" applyFont="1" applyFill="1" applyBorder="1" applyAlignment="1">
      <x:alignment horizontal="center" vertical="center"/>
    </x:xf>
    <x:xf numFmtId="3" fontId="19" fillId="12" borderId="0" xfId="0" applyNumberFormat="1" applyFont="1" applyFill="1" applyBorder="1" applyAlignment="1">
      <x:alignment horizontal="center" vertical="center"/>
    </x:xf>
    <x:xf numFmtId="0" fontId="20" fillId="13" borderId="0" xfId="0" applyFont="1" applyFill="1" applyBorder="1" applyAlignment="1">
      <x:alignment horizontal="center" vertical="center"/>
    </x:xf>
    <x:xf numFmtId="0" fontId="3" fillId="14" borderId="0" xfId="0" applyFont="1" applyFill="1" applyBorder="1" applyAlignment="1">
      <x:alignment horizontal="center" vertical="center" wrapText="1"/>
    </x:xf>
    <x:xf numFmtId="0" fontId="21" fillId="15" borderId="2" xfId="0" applyFont="1" applyFill="1" applyBorder="1" applyAlignment="1">
      <x:alignment horizontal="center" vertical="center"/>
    </x:xf>
    <x:xf numFmtId="0" fontId="21" fillId="15" borderId="2" xfId="0" applyFont="1" applyFill="1" applyBorder="1" applyAlignment="1">
      <x:alignment horizontal="left" vertical="center"/>
    </x:xf>
    <x:xf numFmtId="3" fontId="20" fillId="15" borderId="2" xfId="0" applyNumberFormat="1" applyFont="1" applyFill="1" applyBorder="1" applyAlignment="1">
      <x:alignment horizontal="center" vertical="center"/>
    </x:xf>
    <x:xf numFmtId="3" fontId="21" fillId="15" borderId="2" xfId="0" applyNumberFormat="1" applyFont="1" applyFill="1" applyBorder="1" applyAlignment="1">
      <x:alignment horizontal="center" vertical="center"/>
    </x:xf>
    <x:xf numFmtId="0" fontId="22" fillId="15" borderId="2" xfId="0" applyFont="1" applyFill="1" applyBorder="1" applyAlignment="1">
      <x:alignment horizontal="center" vertical="center"/>
    </x:xf>
    <x:xf numFmtId="0" fontId="21" fillId="0" borderId="2" xfId="0" applyFont="1" applyBorder="1" applyAlignment="1">
      <x:alignment horizontal="center" vertical="center"/>
    </x:xf>
    <x:xf numFmtId="0" fontId="21" fillId="0" borderId="2" xfId="0" applyFont="1" applyBorder="1" applyAlignment="1">
      <x:alignment horizontal="left" vertical="center"/>
    </x:xf>
    <x:xf numFmtId="3" fontId="20" fillId="0" borderId="2" xfId="0" applyNumberFormat="1" applyFont="1" applyBorder="1" applyAlignment="1">
      <x:alignment horizontal="center" vertical="center"/>
    </x:xf>
    <x:xf numFmtId="3" fontId="21" fillId="0" borderId="2" xfId="0" applyNumberFormat="1" applyFont="1" applyBorder="1" applyAlignment="1">
      <x:alignment horizontal="center" vertical="center"/>
    </x:xf>
    <x:xf numFmtId="0" fontId="22" fillId="0" borderId="2" xfId="0" applyFont="1" applyBorder="1" applyAlignment="1">
      <x:alignment horizontal="center" vertical="center"/>
    </x:xf>
    <x:xf numFmtId="0" fontId="20" fillId="16" borderId="3" xfId="0" applyFont="1" applyFill="1" applyBorder="1" applyAlignment="1"/>
    <x:xf numFmtId="0" fontId="20" fillId="16" borderId="3" xfId="0" applyFont="1" applyFill="1" applyBorder="1" applyAlignment="1">
      <x:alignment horizontal="center" vertical="center"/>
    </x:xf>
    <x:xf numFmtId="3" fontId="20" fillId="16" borderId="3" xfId="0" applyNumberFormat="1" applyFont="1" applyFill="1" applyBorder="1" applyAlignment="1">
      <x:alignment horizontal="center" vertical="center"/>
    </x:xf>
    <x:xf numFmtId="176" fontId="8" fillId="9" borderId="1" xfId="0" applyNumberFormat="1" applyFont="1" applyFill="1" applyBorder="1" applyAlignment="1">
      <x:alignment horizontal="center" vertical="center" wrapText="1"/>
    </x:xf>
    <x:xf numFmtId="176" fontId="0" fillId="0" borderId="0" xfId="0" applyNumberFormat="1" applyBorder="1">
      <x:alignment vertical="center"/>
    </x:xf>
    <x:xf numFmtId="176" fontId="8" fillId="0" borderId="1" xfId="0" applyNumberFormat="1" applyFont="1" applyBorder="1" applyAlignment="1">
      <x:alignment horizontal="center" vertical="center" wrapText="1"/>
    </x:xf>
    <x:xf numFmtId="176" fontId="21" fillId="13" borderId="0" xfId="0" applyNumberFormat="1" applyFont="1" applyFill="1" applyBorder="1" applyAlignment="1">
      <x:alignment horizontal="center" vertical="center"/>
    </x:xf>
    <x:xf numFmtId="176" fontId="4" fillId="2" borderId="1" xfId="0" applyNumberFormat="1" applyFont="1" applyFill="1" applyBorder="1" applyAlignment="1">
      <x:alignment horizontal="center" vertical="center" wrapText="1"/>
    </x:xf>
    <x:xf numFmtId="176" fontId="0" fillId="0" borderId="0" xfId="0" applyNumberFormat="1" applyBorder="1" applyAlignment="1"/>
    <x:xf numFmtId="0" fontId="0" fillId="0" borderId="5" xfId="0" applyBorder="1" applyAlignment="1">
      <x:alignment horizontal="center" vertical="center"/>
    </x:xf>
    <x:xf numFmtId="0" fontId="0" fillId="0" borderId="0" xfId="0" applyBorder="1" applyAlignment="1">
      <x:alignment vertical="center" wrapText="1"/>
    </x:xf>
    <x:xf numFmtId="0" fontId="24" fillId="18" borderId="5" xfId="0" applyFont="1" applyFill="1" applyBorder="1" applyAlignment="1">
      <x:alignment horizontal="center" vertical="center" wrapText="1"/>
    </x:xf>
    <x:xf numFmtId="0" fontId="7" fillId="0" borderId="5" xfId="0" applyFont="1" applyBorder="1" applyAlignment="1">
      <x:alignment horizontal="center" vertical="center"/>
    </x:xf>
    <x:xf numFmtId="0" fontId="21" fillId="0" borderId="5" xfId="0" applyFont="1" applyBorder="1" applyAlignment="1">
      <x:alignment horizontal="center" vertical="center"/>
    </x:xf>
    <x:xf numFmtId="0" fontId="7" fillId="0" borderId="5" xfId="0" applyFont="1" applyBorder="1" applyAlignment="1">
      <x:alignment horizontal="center" vertical="center" wrapText="1"/>
    </x:xf>
    <x:xf numFmtId="0" fontId="0" fillId="0" borderId="5" xfId="0" applyBorder="1" applyAlignment="1">
      <x:alignment horizontal="center"/>
    </x:xf>
    <x:xf numFmtId="1" fontId="19" fillId="19" borderId="5" xfId="0" applyNumberFormat="1" applyFont="1" applyFill="1" applyBorder="1" applyAlignment="1">
      <x:alignment horizontal="center" vertical="center"/>
    </x:xf>
    <x:xf numFmtId="0" fontId="0" fillId="19" borderId="5" xfId="0" applyFill="1" applyBorder="1" applyAlignment="1">
      <x:alignment horizontal="center" vertical="center"/>
    </x:xf>
    <x:xf numFmtId="176" fontId="36" fillId="27" borderId="5" xfId="0" applyNumberFormat="1" applyFont="1" applyFill="1" applyBorder="1" applyAlignment="1">
      <x:alignment horizontal="center" vertical="center" wrapText="1"/>
    </x:xf>
    <x:xf numFmtId="0" fontId="36" fillId="27" borderId="5" xfId="0" applyFont="1" applyFill="1" applyBorder="1" applyAlignment="1">
      <x:alignment horizontal="center" vertical="center" wrapText="1"/>
    </x:xf>
    <x:xf numFmtId="0" fontId="30" fillId="24" borderId="5" xfId="0" applyFont="1" applyFill="1" applyBorder="1" applyAlignment="1">
      <x:alignment horizontal="center" vertical="center"/>
    </x:xf>
    <x:xf numFmtId="0" fontId="30" fillId="0" borderId="5" xfId="0" applyFont="1" applyBorder="1" applyAlignment="1">
      <x:alignment horizontal="center" vertical="center"/>
    </x:xf>
    <x:xf numFmtId="0" fontId="35" fillId="27" borderId="5" xfId="0" applyFont="1" applyFill="1" applyBorder="1" applyAlignment="1">
      <x:alignment horizontal="center" vertical="center" wrapText="1"/>
    </x:xf>
    <x:xf numFmtId="1" fontId="35" fillId="27" borderId="5" xfId="0" applyNumberFormat="1" applyFont="1" applyFill="1" applyBorder="1" applyAlignment="1">
      <x:alignment horizontal="center" vertical="center" wrapText="1"/>
    </x:xf>
    <x:xf numFmtId="1" fontId="36" fillId="27" borderId="5" xfId="0" applyNumberFormat="1" applyFont="1" applyFill="1" applyBorder="1" applyAlignment="1">
      <x:alignment horizontal="center" vertical="center" wrapText="1"/>
    </x:xf>
    <x:xf numFmtId="0" fontId="26" fillId="26" borderId="5" xfId="0" applyFont="1" applyFill="1" applyBorder="1" applyAlignment="1">
      <x:alignment horizontal="center" vertical="center"/>
    </x:xf>
    <x:xf numFmtId="1" fontId="26" fillId="20" borderId="5" xfId="0" applyNumberFormat="1" applyFont="1" applyFill="1" applyBorder="1" applyAlignment="1">
      <x:alignment horizontal="center" vertical="center"/>
    </x:xf>
    <x:xf numFmtId="0" fontId="39" fillId="27" borderId="5" xfId="0" applyFont="1" applyFill="1" applyBorder="1" applyAlignment="1">
      <x:alignment horizontal="center" vertical="center" wrapText="1"/>
    </x:xf>
    <x:xf numFmtId="0" fontId="4" fillId="30" borderId="5" xfId="0" applyFont="1" applyFill="1" applyBorder="1" applyAlignment="1">
      <x:alignment horizontal="center" vertical="center" wrapText="1"/>
    </x:xf>
    <x:xf numFmtId="0" fontId="18" fillId="30" borderId="5" xfId="0" applyFont="1" applyFill="1" applyBorder="1" applyAlignment="1">
      <x:alignment horizontal="center" vertical="center" wrapText="1"/>
    </x:xf>
    <x:xf numFmtId="0" fontId="3" fillId="30" borderId="5" xfId="0" applyFont="1" applyFill="1" applyBorder="1" applyAlignment="1">
      <x:alignment horizontal="center" vertical="center" wrapText="1"/>
    </x:xf>
    <x:xf numFmtId="0" fontId="37" fillId="27" borderId="5" xfId="0" applyFont="1" applyFill="1" applyBorder="1" applyAlignment="1">
      <x:alignment horizontal="center" vertical="center" wrapText="1"/>
    </x:xf>
    <x:xf numFmtId="0" fontId="0" fillId="20" borderId="5" xfId="0" applyFill="1" applyBorder="1" applyAlignment="1">
      <x:alignment horizontal="center" vertical="center"/>
    </x:xf>
    <x:xf numFmtId="0" fontId="39" fillId="27" borderId="5" xfId="0" applyFont="1" applyFill="1" applyBorder="1" applyAlignment="1">
      <x:alignment horizontal="center" vertical="center"/>
    </x:xf>
    <x:xf numFmtId="0" fontId="36" fillId="27" borderId="5" xfId="0" applyFont="1" applyFill="1" applyBorder="1" applyAlignment="1">
      <x:alignment horizontal="center" vertical="center"/>
    </x:xf>
    <x:xf numFmtId="0" fontId="44" fillId="30" borderId="5" xfId="0" applyFont="1" applyFill="1" applyBorder="1" applyAlignment="1">
      <x:alignment horizontal="center" vertical="center" wrapText="1"/>
    </x:xf>
    <x:xf numFmtId="0" fontId="30" fillId="23" borderId="5" xfId="0" applyFont="1" applyFill="1" applyBorder="1" applyAlignment="1">
      <x:alignment horizontal="center" vertical="center"/>
    </x:xf>
    <x:xf numFmtId="0" fontId="31" fillId="22" borderId="5" xfId="0" applyFont="1" applyFill="1" applyBorder="1" applyAlignment="1">
      <x:alignment horizontal="center" vertical="center"/>
    </x:xf>
    <x:xf numFmtId="0" fontId="27" fillId="21" borderId="5" xfId="0" applyFont="1" applyFill="1" applyBorder="1" applyAlignment="1">
      <x:alignment horizontal="center" vertical="center"/>
    </x:xf>
    <x:xf numFmtId="0" fontId="28" fillId="0" borderId="5" xfId="0" applyFont="1" applyBorder="1" applyAlignment="1">
      <x:alignment horizontal="center"/>
    </x:xf>
    <x:xf numFmtId="0" fontId="38" fillId="27" borderId="5" xfId="0" applyFont="1" applyFill="1" applyBorder="1" applyAlignment="1">
      <x:alignment horizontal="center" vertical="center" wrapText="1"/>
    </x:xf>
    <x:xf numFmtId="0" fontId="0" fillId="0" borderId="5" xfId="0" applyBorder="1" applyAlignment="1"/>
    <x:xf numFmtId="0" fontId="25" fillId="20" borderId="5" xfId="0" applyFont="1" applyFill="1" applyBorder="1" applyAlignment="1">
      <x:alignment horizontal="center" vertical="center"/>
    </x:xf>
    <x:xf numFmtId="0" fontId="24" fillId="29" borderId="5" xfId="0" applyFont="1" applyFill="1" applyBorder="1" applyAlignment="1">
      <x:alignment horizontal="center" vertical="center"/>
    </x:xf>
    <x:xf numFmtId="0" fontId="25" fillId="19" borderId="5" xfId="0" applyFont="1" applyFill="1" applyBorder="1" applyAlignment="1">
      <x:alignment horizontal="center" vertical="center"/>
    </x:xf>
    <x:xf numFmtId="0" fontId="29" fillId="19" borderId="5" xfId="0" applyFont="1" applyFill="1" applyBorder="1" applyAlignment="1">
      <x:alignment horizontal="center" vertical="center" wrapText="1"/>
    </x:xf>
    <x:xf numFmtId="0" fontId="4" fillId="2" borderId="5" xfId="0" applyFont="1" applyFill="1" applyBorder="1" applyAlignment="1">
      <x:alignment horizontal="center" vertical="center" wrapText="1"/>
    </x:xf>
    <x:xf numFmtId="0" fontId="4" fillId="3" borderId="5" xfId="0" applyFont="1" applyFill="1" applyBorder="1" applyAlignment="1">
      <x:alignment horizontal="center" vertical="center" wrapText="1"/>
    </x:xf>
    <x:xf numFmtId="0" fontId="4" fillId="4" borderId="5" xfId="0" applyFont="1" applyFill="1" applyBorder="1" applyAlignment="1">
      <x:alignment horizontal="center" vertical="center" wrapText="1"/>
    </x:xf>
    <x:xf numFmtId="0" fontId="4" fillId="5" borderId="5" xfId="0" applyFont="1" applyFill="1" applyBorder="1" applyAlignment="1">
      <x:alignment horizontal="center" vertical="center" wrapText="1"/>
    </x:xf>
    <x:xf numFmtId="0" fontId="4" fillId="6" borderId="5" xfId="0" applyFont="1" applyFill="1" applyBorder="1" applyAlignment="1">
      <x:alignment horizontal="center" vertical="center" wrapText="1"/>
    </x:xf>
    <x:xf numFmtId="0" fontId="4" fillId="7" borderId="5" xfId="0" applyFont="1" applyFill="1" applyBorder="1" applyAlignment="1">
      <x:alignment horizontal="center" vertical="center" wrapText="1"/>
    </x:xf>
    <x:xf numFmtId="0" fontId="4" fillId="8" borderId="5" xfId="0" applyFont="1" applyFill="1" applyBorder="1" applyAlignment="1">
      <x:alignment horizontal="center" vertical="center" wrapText="1"/>
    </x:xf>
    <x:xf numFmtId="0" fontId="10" fillId="0" borderId="5" xfId="0" applyFont="1" applyBorder="1" applyAlignment="1">
      <x:alignment horizontal="center" vertical="center" wrapText="1"/>
    </x:xf>
    <x:xf numFmtId="0" fontId="5" fillId="10" borderId="5" xfId="0" applyFont="1" applyFill="1" applyBorder="1" applyAlignment="1">
      <x:alignment horizontal="center" vertical="center" wrapText="1"/>
    </x:xf>
    <x:xf numFmtId="0" fontId="8" fillId="10" borderId="5" xfId="0" applyFont="1" applyFill="1" applyBorder="1" applyAlignment="1">
      <x:alignment horizontal="center" vertical="center" wrapText="1"/>
    </x:xf>
    <x:xf numFmtId="0" fontId="8" fillId="0" borderId="5" xfId="0" applyFont="1" applyBorder="1" applyAlignment="1">
      <x:alignment horizontal="center" vertical="center" wrapText="1"/>
    </x:xf>
    <x:xf numFmtId="0" fontId="1" fillId="0" borderId="5" xfId="0" applyFont="1" applyBorder="1" applyAlignment="1">
      <x:alignment horizontal="center" vertical="center"/>
    </x:xf>
    <x:xf numFmtId="0" fontId="11" fillId="0" borderId="5" xfId="0" applyFont="1" applyBorder="1" applyAlignment="1">
      <x:alignment horizontal="center" vertical="center" wrapText="1"/>
    </x:xf>
    <x:xf numFmtId="0" fontId="12" fillId="0" borderId="5" xfId="0" applyFont="1" applyBorder="1" applyAlignment="1">
      <x:alignment horizontal="center" vertical="center" wrapText="1"/>
    </x:xf>
    <x:xf numFmtId="0" fontId="0" fillId="0" borderId="5" xfId="0" applyBorder="1">
      <x:alignment vertical="center"/>
    </x:xf>
    <x:xf numFmtId="0" fontId="32" fillId="25" borderId="5" xfId="0" applyFont="1" applyFill="1" applyBorder="1" applyAlignment="1">
      <x:alignment horizontal="center" vertical="center"/>
    </x:xf>
    <x:xf numFmtId="0" fontId="34" fillId="28" borderId="5" xfId="0" applyFont="1" applyFill="1" applyBorder="1" applyAlignment="1">
      <x:alignment horizontal="center" vertical="center" wrapText="1"/>
    </x:xf>
    <x:xf numFmtId="0" fontId="41" fillId="28" borderId="5" xfId="0" applyFont="1" applyFill="1" applyBorder="1" applyAlignment="1">
      <x:alignment horizontal="center" vertical="center" wrapText="1"/>
    </x:xf>
    <x:xf numFmtId="0" fontId="42" fillId="27" borderId="5" xfId="0" applyFont="1" applyFill="1" applyBorder="1" applyAlignment="1">
      <x:alignment horizontal="center" vertical="center" wrapText="1"/>
    </x:xf>
    <x:xf numFmtId="0" fontId="43" fillId="27" borderId="5" xfId="0" applyFont="1" applyFill="1" applyBorder="1" applyAlignment="1">
      <x:alignment horizontal="center" vertical="center" wrapText="1"/>
    </x:xf>
    <x:xf numFmtId="176" fontId="0" fillId="0" borderId="0" xfId="0" applyNumberFormat="1" applyFont="1" applyFill="1" applyBorder="1" applyAlignment="1">
      <x:alignment vertical="center"/>
    </x:xf>
    <x:xf numFmtId="176" fontId="8" fillId="0" borderId="1" xfId="0" applyNumberFormat="1" applyFont="1" applyFill="1" applyBorder="1" applyAlignment="1">
      <x:alignment horizontal="center" vertical="center" wrapText="1"/>
    </x:xf>
    <x:xf numFmtId="176" fontId="32" fillId="25" borderId="5" xfId="0" applyNumberFormat="1" applyFont="1" applyFill="1" applyBorder="1" applyAlignment="1">
      <x:alignment horizontal="center" vertical="center" wrapText="1"/>
    </x:xf>
    <x:xf numFmtId="1" fontId="5" fillId="10" borderId="5" xfId="0" applyNumberFormat="1" applyFont="1" applyFill="1" applyBorder="1" applyAlignment="1">
      <x:alignment horizontal="center" vertical="center" wrapText="1"/>
    </x:xf>
    <x:xf numFmtId="1" fontId="14" fillId="9" borderId="5" xfId="0" applyNumberFormat="1" applyFont="1" applyFill="1" applyBorder="1" applyAlignment="1">
      <x:alignment horizontal="center" vertical="center" wrapText="1"/>
    </x:xf>
    <x:xf numFmtId="1" fontId="2" fillId="0" borderId="5" xfId="0" applyNumberFormat="1" applyFont="1" applyFill="1" applyBorder="1" applyAlignment="1">
      <x:alignment horizontal="center"/>
    </x:xf>
    <x:xf numFmtId="1" fontId="2" fillId="25" borderId="5" xfId="0" applyNumberFormat="1" applyFont="1" applyFill="1" applyBorder="1" applyAlignment="1">
      <x:alignment horizontal="center" vertical="center" wrapText="1"/>
    </x:xf>
    <x:xf numFmtId="176" fontId="7" fillId="0" borderId="5" xfId="0" applyNumberFormat="1" applyFont="1" applyFill="1" applyBorder="1" applyAlignment="1">
      <x:alignment horizontal="center" vertical="center" wrapText="1"/>
    </x:xf>
    <x:xf numFmtId="176" fontId="6" fillId="0" borderId="5" xfId="0" applyNumberFormat="1" applyFont="1" applyFill="1" applyBorder="1" applyAlignment="1">
      <x:alignment horizontal="center" vertical="center" wrapText="1"/>
    </x:xf>
    <x:xf numFmtId="1" fontId="7" fillId="0" borderId="5" xfId="0" applyNumberFormat="1" applyFont="1" applyFill="1" applyBorder="1" applyAlignment="1">
      <x:alignment horizontal="center" vertical="center" wrapText="1"/>
    </x:xf>
    <x:xf numFmtId="1" fontId="6" fillId="0" borderId="5" xfId="0" applyNumberFormat="1" applyFont="1" applyFill="1" applyBorder="1" applyAlignment="1">
      <x:alignment horizontal="center" vertical="center" wrapText="1"/>
    </x:xf>
    <x:xf numFmtId="1" fontId="32" fillId="25" borderId="5" xfId="0" applyNumberFormat="1" applyFont="1" applyFill="1" applyBorder="1" applyAlignment="1">
      <x:alignment horizontal="center" vertical="center"/>
    </x:xf>
    <x:xf numFmtId="1" fontId="0" fillId="0" borderId="0" xfId="0" applyNumberFormat="1" applyFont="1" applyFill="1" applyBorder="1" applyAlignment="1">
      <x:alignment vertical="center"/>
    </x:xf>
    <x:xf numFmtId="0" fontId="5" fillId="31" borderId="5" xfId="0" applyNumberFormat="1" applyFont="1" applyFill="1" applyBorder="1" applyAlignment="1">
      <x:alignment horizontal="center" vertical="center" wrapText="1"/>
    </x:xf>
    <x:xf numFmtId="0" fontId="45" fillId="31" borderId="5" xfId="0" applyNumberFormat="1" applyFont="1" applyFill="1" applyBorder="1" applyAlignment="1">
      <x:alignment horizontal="center" vertical="center"/>
    </x:xf>
    <x:xf numFmtId="0" fontId="6" fillId="31" borderId="5" xfId="0" applyNumberFormat="1" applyFont="1" applyFill="1" applyBorder="1" applyAlignment="1">
      <x:alignment horizontal="center" vertical="center" wrapText="1"/>
    </x:xf>
    <x:xf numFmtId="0" fontId="48" fillId="31" borderId="5" xfId="0" applyNumberFormat="1" applyFont="1" applyFill="1" applyBorder="1" applyAlignment="1">
      <x:alignment horizontal="center" vertical="center" wrapText="1"/>
    </x:xf>
    <x:xf numFmtId="0" fontId="49" fillId="31" borderId="5" xfId="0" applyNumberFormat="1" applyFont="1" applyFill="1" applyBorder="1" applyAlignment="1">
      <x:alignment horizontal="center" vertical="center"/>
    </x:xf>
    <x:xf numFmtId="0" fontId="50" fillId="31" borderId="5" xfId="0" applyNumberFormat="1" applyFont="1" applyFill="1" applyBorder="1" applyAlignment="1">
      <x:alignment horizontal="center" vertical="center"/>
    </x:xf>
    <x:xf numFmtId="0" fontId="45" fillId="31" borderId="0" xfId="0" applyNumberFormat="1" applyFont="1" applyFill="1" applyBorder="1" applyAlignment="1">
      <x:alignment vertical="center"/>
    </x:xf>
    <x:xf numFmtId="0" fontId="5" fillId="32" borderId="5" xfId="0" applyNumberFormat="1" applyFont="1" applyFill="1" applyBorder="1" applyAlignment="1">
      <x:alignment horizontal="center" vertical="center" wrapText="1"/>
    </x:xf>
    <x:xf numFmtId="0" fontId="6" fillId="32" borderId="5" xfId="0" applyNumberFormat="1" applyFont="1" applyFill="1" applyBorder="1" applyAlignment="1">
      <x:alignment horizontal="center" vertical="center" wrapText="1"/>
    </x:xf>
    <x:xf numFmtId="0" fontId="0" fillId="33" borderId="5" xfId="0" applyNumberFormat="1" applyFont="1" applyFill="1" applyBorder="1" applyAlignment="1">
      <x:alignment horizontal="center" vertical="center"/>
    </x:xf>
    <x:xf numFmtId="0" fontId="48" fillId="32" borderId="5" xfId="0" applyNumberFormat="1" applyFont="1" applyFill="1" applyBorder="1" applyAlignment="1">
      <x:alignment horizontal="center" vertical="center" wrapText="1"/>
    </x:xf>
    <x:xf numFmtId="0" fontId="10" fillId="33" borderId="5" xfId="0" applyNumberFormat="1" applyFont="1" applyFill="1" applyBorder="1" applyAlignment="1">
      <x:alignment horizontal="center" vertical="center" wrapText="1"/>
    </x:xf>
    <x:xf numFmtId="0" fontId="51" fillId="32" borderId="5" xfId="0" applyNumberFormat="1" applyFont="1" applyFill="1" applyBorder="1" applyAlignment="1">
      <x:alignment horizontal="center" vertical="center" wrapText="1"/>
    </x:xf>
    <x:xf numFmtId="0" fontId="52" fillId="32" borderId="5" xfId="0" applyNumberFormat="1" applyFont="1" applyFill="1" applyBorder="1" applyAlignment="1">
      <x:alignment horizontal="center" vertical="center" wrapText="1"/>
    </x:xf>
    <x:xf numFmtId="0" fontId="49" fillId="32" borderId="5" xfId="0" applyNumberFormat="1" applyFont="1" applyFill="1" applyBorder="1" applyAlignment="1">
      <x:alignment horizontal="center" vertical="center"/>
    </x:xf>
    <x:xf numFmtId="0" fontId="50" fillId="32" borderId="5" xfId="0" applyNumberFormat="1" applyFont="1" applyFill="1" applyBorder="1" applyAlignment="1">
      <x:alignment horizontal="center" vertical="center"/>
    </x:xf>
    <x:xf numFmtId="0" fontId="33" fillId="33" borderId="5" xfId="0" applyNumberFormat="1" applyFont="1" applyFill="1" applyBorder="1" applyAlignment="1">
      <x:alignment horizontal="center" vertical="center"/>
    </x:xf>
    <x:xf numFmtId="0" fontId="45" fillId="32" borderId="0" xfId="0" applyNumberFormat="1" applyFont="1" applyFill="1" applyBorder="1" applyAlignment="1">
      <x:alignment vertical="center"/>
    </x:xf>
    <x:xf numFmtId="0" fontId="0" fillId="33" borderId="0" xfId="0" applyNumberFormat="1" applyFont="1" applyFill="1" applyBorder="1" applyAlignment="1">
      <x:alignment vertical="center"/>
    </x:xf>
    <x:xf numFmtId="1" fontId="6" fillId="0" borderId="1" xfId="0" applyNumberFormat="1" applyFont="1" applyFill="1" applyBorder="1" applyAlignment="1">
      <x:alignment horizontal="center" vertical="center" wrapText="1"/>
    </x:xf>
    <x:xf numFmtId="1" fontId="7" fillId="0" borderId="1" xfId="0" applyNumberFormat="1" applyFont="1" applyFill="1" applyBorder="1" applyAlignment="1">
      <x:alignment horizontal="center" vertical="center" wrapText="1"/>
    </x:xf>
    <x:xf numFmtId="0" fontId="32" fillId="31" borderId="5" xfId="0" applyNumberFormat="1" applyFont="1" applyFill="1" applyBorder="1" applyAlignment="1">
      <x:alignment horizontal="center" vertical="center" wrapText="1"/>
    </x:xf>
    <x:xf numFmtId="1" fontId="46" fillId="10" borderId="5" xfId="0" applyNumberFormat="1" applyFont="1" applyFill="1" applyBorder="1" applyAlignment="1">
      <x:alignment horizontal="center" vertical="center" wrapText="1"/>
    </x:xf>
    <x:xf numFmtId="1" fontId="47" fillId="10" borderId="5" xfId="0" applyNumberFormat="1" applyFont="1" applyFill="1" applyBorder="1" applyAlignment="1">
      <x:alignment horizontal="center"/>
    </x:xf>
    <x:xf numFmtId="1" fontId="6" fillId="10" borderId="5" xfId="0" applyNumberFormat="1" applyFont="1" applyFill="1" applyBorder="1" applyAlignment="1">
      <x:alignment horizontal="center" vertical="center" wrapText="1"/>
    </x:xf>
    <x:xf numFmtId="1" fontId="49" fillId="10" borderId="5" xfId="0" applyNumberFormat="1" applyFont="1" applyFill="1" applyBorder="1" applyAlignment="1">
      <x:alignment horizontal="center" vertical="center"/>
    </x:xf>
    <x:xf numFmtId="1" fontId="0" fillId="10" borderId="0" xfId="0" applyNumberFormat="1" applyFont="1" applyFill="1" applyBorder="1" applyAlignment="1">
      <x:alignment vertical="center"/>
    </x:xf>
    <x:xf numFmtId="1" fontId="45" fillId="10" borderId="0" xfId="0" applyNumberFormat="1" applyFont="1" applyFill="1" applyBorder="1" applyAlignment="1">
      <x:alignment vertical="center"/>
    </x:xf>
    <x:xf numFmtId="0" fontId="5" fillId="9" borderId="5" xfId="0" applyNumberFormat="1" applyFont="1" applyFill="1" applyBorder="1" applyAlignment="1">
      <x:alignment horizontal="center" vertical="center" wrapText="1"/>
    </x:xf>
    <x:xf numFmtId="1" fontId="5" fillId="9" borderId="5" xfId="0" applyNumberFormat="1" applyFont="1" applyFill="1" applyBorder="1" applyAlignment="1">
      <x:alignment horizontal="center" vertical="center" wrapText="1"/>
    </x:xf>
    <x:xf numFmtId="0" fontId="6" fillId="9" borderId="5" xfId="0" applyNumberFormat="1" applyFont="1" applyFill="1" applyBorder="1" applyAlignment="1">
      <x:alignment horizontal="center" vertical="center" wrapText="1"/>
    </x:xf>
    <x:xf numFmtId="176" fontId="14" fillId="25" borderId="5" xfId="0" applyNumberFormat="1" applyFont="1" applyFill="1" applyBorder="1" applyAlignment="1">
      <x:alignment horizontal="center" vertical="center" wrapText="1"/>
    </x:xf>
    <x:xf numFmtId="1" fontId="6" fillId="9" borderId="5" xfId="0" applyNumberFormat="1" applyFont="1" applyFill="1" applyBorder="1" applyAlignment="1">
      <x:alignment horizontal="center" vertical="center" wrapText="1"/>
    </x:xf>
    <x:xf numFmtId="1" fontId="48" fillId="9" borderId="5" xfId="0" applyNumberFormat="1" applyFont="1" applyFill="1" applyBorder="1" applyAlignment="1">
      <x:alignment horizontal="center" vertical="center" wrapText="1"/>
    </x:xf>
    <x:xf numFmtId="1" fontId="49" fillId="9" borderId="5" xfId="0" applyNumberFormat="1" applyFont="1" applyFill="1" applyBorder="1" applyAlignment="1">
      <x:alignment horizontal="center" vertical="center"/>
    </x:xf>
    <x:xf numFmtId="1" fontId="45" fillId="9" borderId="0" xfId="0" applyNumberFormat="1" applyFont="1" applyFill="1" applyBorder="1" applyAlignment="1">
      <x:alignment vertical="center"/>
    </x:xf>
    <x:xf numFmtId="1" fontId="32" fillId="10" borderId="5" xfId="0" applyNumberFormat="1" applyFont="1" applyFill="1" applyBorder="1" applyAlignment="1">
      <x:alignment horizontal="center" vertical="center" wrapText="1"/>
    </x:xf>
    <x:xf numFmtId="0" fontId="53" fillId="25" borderId="5" xfId="0" applyNumberFormat="1" applyFont="1" applyFill="1" applyBorder="1" applyAlignment="1">
      <x:alignment horizontal="center" vertical="center" wrapText="1"/>
    </x:xf>
    <x:xf numFmtId="0" fontId="54" fillId="25" borderId="5" xfId="0" applyNumberFormat="1" applyFont="1" applyFill="1" applyBorder="1" applyAlignment="1">
      <x:alignment horizontal="center" vertical="center"/>
    </x:xf>
    <x:xf numFmtId="176" fontId="47" fillId="25" borderId="5" xfId="0" applyNumberFormat="1" applyFont="1" applyFill="1" applyBorder="1" applyAlignment="1">
      <x:alignment horizontal="center"/>
    </x:xf>
    <x:xf numFmtId="1" fontId="7" fillId="25" borderId="5" xfId="0" applyNumberFormat="1" applyFont="1" applyFill="1" applyBorder="1" applyAlignment="1">
      <x:alignment horizontal="center" vertical="center" wrapText="1"/>
    </x:xf>
    <x:xf numFmtId="1" fontId="6" fillId="25" borderId="5" xfId="0" applyNumberFormat="1" applyFont="1" applyFill="1" applyBorder="1" applyAlignment="1">
      <x:alignment horizontal="center" vertical="center" wrapText="1"/>
    </x:xf>
    <x:xf numFmtId="176" fontId="0" fillId="0" borderId="5" xfId="0" applyNumberFormat="1" applyFont="1" applyFill="1" applyBorder="1" applyAlignment="1">
      <x:alignment horizontal="center" vertical="center"/>
    </x:xf>
    <x:xf numFmtId="0" fontId="5" fillId="25" borderId="5" xfId="0" applyNumberFormat="1" applyFont="1" applyFill="1" applyBorder="1" applyAlignment="1">
      <x:alignment horizontal="center" vertical="center" wrapText="1"/>
    </x:xf>
    <x:xf numFmtId="1" fontId="5" fillId="25" borderId="5" xfId="0" applyNumberFormat="1" applyFont="1" applyFill="1" applyBorder="1" applyAlignment="1">
      <x:alignment horizontal="center" vertical="center" wrapText="1"/>
    </x:xf>
    <x:xf numFmtId="0" fontId="54" fillId="0" borderId="5" xfId="0" applyNumberFormat="1" applyFont="1" applyFill="1" applyBorder="1" applyAlignment="1">
      <x:alignment horizontal="center" vertical="center"/>
    </x:xf>
    <x:xf numFmtId="0" fontId="53" fillId="0" borderId="5" xfId="0" applyNumberFormat="1" applyFont="1" applyFill="1" applyBorder="1" applyAlignment="1">
      <x:alignment horizontal="center" vertical="center" wrapText="1"/>
    </x:xf>
    <x:xf numFmtId="0" fontId="52" fillId="25" borderId="5" xfId="0" applyNumberFormat="1" applyFont="1" applyFill="1" applyBorder="1" applyAlignment="1">
      <x:alignment horizontal="center" vertical="center" wrapText="1"/>
    </x:xf>
    <x:xf numFmtId="0" fontId="55" fillId="0" borderId="5" xfId="0" applyNumberFormat="1" applyFont="1" applyFill="1" applyBorder="1" applyAlignment="1">
      <x:alignment horizontal="center" vertical="center" wrapText="1"/>
    </x:xf>
    <x:xf numFmtId="0" fontId="56" fillId="0" borderId="5" xfId="0" applyNumberFormat="1" applyFont="1" applyFill="1" applyBorder="1" applyAlignment="1">
      <x:alignment horizontal="center" vertical="center" wrapText="1"/>
    </x:xf>
    <x:xf numFmtId="0" fontId="49" fillId="25" borderId="5" xfId="0" applyNumberFormat="1" applyFont="1" applyFill="1" applyBorder="1" applyAlignment="1">
      <x:alignment horizontal="center" vertical="center"/>
    </x:xf>
    <x:xf numFmtId="1" fontId="49" fillId="25" borderId="5" xfId="0" applyNumberFormat="1" applyFont="1" applyFill="1" applyBorder="1" applyAlignment="1">
      <x:alignment horizontal="center" vertical="center"/>
    </x:xf>
    <x:xf numFmtId="0" fontId="57" fillId="25" borderId="5" xfId="0" applyNumberFormat="1" applyFont="1" applyFill="1" applyBorder="1" applyAlignment="1">
      <x:alignment horizontal="center" vertical="center"/>
    </x:xf>
    <x:xf numFmtId="0" fontId="45" fillId="25" borderId="0" xfId="0" applyNumberFormat="1" applyFont="1" applyFill="1" applyBorder="1" applyAlignment="1">
      <x:alignment vertical="center"/>
    </x:xf>
    <x:xf numFmtId="1" fontId="45" fillId="25" borderId="0" xfId="0" applyNumberFormat="1" applyFont="1" applyFill="1" applyBorder="1" applyAlignment="1">
      <x:alignment vertical="center"/>
    </x:xf>
    <x:xf numFmtId="0" fontId="54" fillId="0" borderId="0" xfId="0" applyNumberFormat="1" applyFont="1" applyFill="1" applyBorder="1" applyAlignment="1">
      <x:alignment vertical="center"/>
    </x:xf>
    <x:xf numFmtId="1" fontId="0" fillId="0" borderId="5" xfId="0" applyNumberFormat="1" applyFont="1" applyFill="1" applyBorder="1" applyAlignment="1">
      <x:alignment horizontal="center" vertical="center"/>
    </x:xf>
    <x:xf numFmtId="1" fontId="0" fillId="0" borderId="5" xfId="0" applyNumberFormat="1" applyFont="1" applyFill="1" applyBorder="1" applyAlignment="1">
      <x:alignment vertical="center"/>
    </x:xf>
    <x:xf numFmtId="1" fontId="38" fillId="25" borderId="5" xfId="0" applyNumberFormat="1" applyFont="1" applyFill="1" applyBorder="1" applyAlignment="1">
      <x:alignment horizontal="center" vertical="center" wrapText="1"/>
    </x:xf>
    <x:xf numFmtId="1" fontId="40" fillId="28" borderId="5" xfId="0" applyNumberFormat="1" applyFont="1" applyFill="1" applyBorder="1" applyAlignment="1">
      <x:alignment horizontal="center" vertical="center" wrapText="1"/>
    </x:xf>
    <x:xf numFmtId="1" fontId="30" fillId="23" borderId="5" xfId="0" applyNumberFormat="1" applyFont="1" applyFill="1" applyBorder="1" applyAlignment="1">
      <x:alignment horizontal="center" vertical="center"/>
    </x:xf>
    <x:xf numFmtId="1" fontId="30" fillId="0" borderId="5" xfId="0" applyNumberFormat="1" applyFont="1" applyFill="1" applyBorder="1" applyAlignment="1">
      <x:alignment horizontal="center" vertical="center"/>
    </x:xf>
    <x:xf numFmtId="1" fontId="0" fillId="0" borderId="5" xfId="0" applyNumberFormat="1" applyFont="1" applyFill="1" applyBorder="1" applyAlignment="1">
      <x:alignment horizontal="center"/>
    </x:xf>
    <x:xf numFmtId="1" fontId="26" fillId="20" borderId="5" xfId="0" applyNumberFormat="1" applyFont="1" applyFill="1" applyBorder="1" applyAlignment="1">
      <x:alignment horizontal="center" vertical="center"/>
    </x:xf>
    <x:xf numFmtId="1" fontId="45" fillId="25" borderId="0" xfId="0" applyNumberFormat="1" applyFont="1" applyFill="1" applyBorder="1" applyAlignment="1">
      <x:alignment horizontal="center" vertical="center"/>
    </x:xf>
    <x:xf numFmtId="0" fontId="54" fillId="9" borderId="0" xfId="0" applyNumberFormat="1" applyFont="1" applyFill="1" applyBorder="1" applyAlignment="1">
      <x:alignment horizontal="center" vertical="center"/>
    </x:xf>
    <x:xf numFmtId="1" fontId="54" fillId="9" borderId="0" xfId="0" applyNumberFormat="1" applyFont="1" applyFill="1" applyBorder="1" applyAlignment="1">
      <x:alignment horizontal="center" vertical="center"/>
    </x:xf>
    <x:xf numFmtId="0" fontId="45" fillId="25" borderId="0" xfId="0" applyNumberFormat="1" applyFont="1" applyFill="1" applyBorder="1" applyAlignment="1">
      <x:alignment horizontal="center" vertical="center"/>
    </x:xf>
    <x:xf numFmtId="0" fontId="54" fillId="0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/>
    </x:xf>
    <x:xf numFmtId="1" fontId="0" fillId="0" borderId="0" xfId="0" applyNumberFormat="1" applyFont="1" applyFill="1" applyBorder="1" applyAlignment="1">
      <x:alignment horizontal="center" vertical="center"/>
    </x:xf>
    <x:xf numFmtId="1" fontId="45" fillId="0" borderId="5" xfId="0" applyNumberFormat="1" applyFont="1" applyFill="1" applyBorder="1" applyAlignment="1">
      <x:alignment horizontal="center" vertical="center"/>
    </x:xf>
    <x:xf numFmtId="176" fontId="40" fillId="28" borderId="5" xfId="0" applyNumberFormat="1" applyFont="1" applyFill="1" applyBorder="1" applyAlignment="1">
      <x:alignment horizontal="center" vertical="center" wrapText="1"/>
    </x:xf>
    <x:xf numFmtId="1" fontId="58" fillId="34" borderId="7" xfId="0" applyNumberFormat="1" applyFont="1" applyFill="1" applyBorder="1" applyAlignment="1">
      <x:alignment horizontal="center" vertical="center" wrapText="1"/>
    </x:xf>
    <x:xf numFmtId="1" fontId="45" fillId="0" borderId="0" xfId="0" applyNumberFormat="1" applyFont="1" applyFill="1" applyBorder="1" applyAlignment="1">
      <x:alignment vertical="center"/>
    </x:xf>
    <x:xf numFmtId="0" fontId="9" fillId="2" borderId="4" xfId="0" applyFont="1" applyFill="1" applyAlignment="1">
      <x:alignment horizontal="center" vertical="center" wrapText="1"/>
    </x:xf>
    <x:xf numFmtId="0" fontId="0" fillId="0" borderId="4" xfId="0" applyAlignment="1"/>
    <x:xf numFmtId="0" fontId="13" fillId="2" borderId="5" xfId="0" applyFont="1" applyFill="1" applyBorder="1" applyAlignment="1">
      <x:alignment horizontal="center" vertical="center" wrapText="1"/>
    </x:xf>
    <x:xf numFmtId="0" fontId="0" fillId="0" borderId="5" xfId="0" applyBorder="1" applyAlignment="1"/>
    <x:xf numFmtId="0" fontId="9" fillId="2" borderId="6" xfId="0" applyFont="1" applyFill="1" applyBorder="1" applyAlignment="1">
      <x:alignment horizontal="center" vertical="center" wrapText="1"/>
    </x:xf>
    <x:xf numFmtId="0" fontId="0" fillId="0" borderId="6" xfId="0" applyBorder="1" applyAlignment="1"/>
    <x:xf numFmtId="0" fontId="15" fillId="0" borderId="4" xfId="0" applyFont="1" applyAlignment="1">
      <x:alignment horizontal="center" vertical="center"/>
    </x:xf>
    <x:xf numFmtId="0" fontId="17" fillId="0" borderId="4" xfId="0" applyFont="1" applyAlignment="1"/>
    <x:xf numFmtId="0" fontId="16" fillId="0" borderId="4" xfId="0" applyFont="1" applyAlignment="1">
      <x:alignment horizontal="left" vertical="center"/>
    </x:xf>
    <x:xf numFmtId="0" fontId="23" fillId="17" borderId="5" xfId="0" applyFont="1" applyFill="1" applyBorder="1" applyAlignment="1">
      <x:alignment horizontal="center" vertical="center"/>
    </x:xf>
    <x:xf numFmtId="0" fontId="0" fillId="0" borderId="5" xfId="0" applyBorder="1" applyAlignment="1">
      <x:alignment horizontal="center"/>
    </x:xf>
    <x:xf numFmtId="0" fontId="37" fillId="27" borderId="5" xfId="0" applyFont="1" applyFill="1" applyBorder="1" applyAlignment="1">
      <x:alignment horizontal="center" vertical="center" wrapText="1"/>
    </x:xf>
    <x:xf numFmtId="0" fontId="25" fillId="19" borderId="5" xfId="0" applyFont="1" applyFill="1" applyBorder="1" applyAlignment="1">
      <x:alignment horizontal="center" vertical="center"/>
    </x:xf>
    <x:xf numFmtId="0" fontId="25" fillId="20" borderId="5" xfId="0" applyFont="1" applyFill="1" applyBorder="1" applyAlignment="1">
      <x:alignment horizontal="center" vertical="center"/>
    </x:xf>
    <x:xf numFmtId="0" fontId="39" fillId="27" borderId="5" xfId="0" applyFont="1" applyFill="1" applyBorder="1" applyAlignment="1">
      <x:alignment horizontal="center" vertical="center"/>
    </x:xf>
    <x:xf numFmtId="0" fontId="24" fillId="29" borderId="5" xfId="0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vertical="center"/>
    </x:xf>
    <x:xf numFmtId="0" fontId="4" fillId="2" borderId="9" xfId="0" applyNumberFormat="1" applyFont="1" applyFill="1" applyBorder="1" applyAlignment="1">
      <x:alignment horizontal="center" vertical="center" wrapText="1"/>
    </x:xf>
    <x:xf numFmtId="0" fontId="4" fillId="3" borderId="9" xfId="0" applyNumberFormat="1" applyFont="1" applyFill="1" applyBorder="1" applyAlignment="1">
      <x:alignment horizontal="center" vertical="center" wrapText="1"/>
    </x:xf>
    <x:xf numFmtId="0" fontId="4" fillId="4" borderId="9" xfId="0" applyNumberFormat="1" applyFont="1" applyFill="1" applyBorder="1" applyAlignment="1">
      <x:alignment horizontal="center" vertical="center" wrapText="1"/>
    </x:xf>
    <x:xf numFmtId="0" fontId="4" fillId="5" borderId="9" xfId="0" applyNumberFormat="1" applyFont="1" applyFill="1" applyBorder="1" applyAlignment="1">
      <x:alignment horizontal="center" vertical="center" wrapText="1"/>
    </x:xf>
    <x:xf numFmtId="0" fontId="4" fillId="6" borderId="9" xfId="0" applyNumberFormat="1" applyFont="1" applyFill="1" applyBorder="1" applyAlignment="1">
      <x:alignment horizontal="center" vertical="center" wrapText="1"/>
    </x:xf>
    <x:xf numFmtId="0" fontId="4" fillId="7" borderId="9" xfId="0" applyNumberFormat="1" applyFont="1" applyFill="1" applyBorder="1" applyAlignment="1">
      <x:alignment horizontal="center" vertical="center" wrapText="1"/>
    </x:xf>
    <x:xf numFmtId="0" fontId="4" fillId="8" borderId="9" xfId="0" applyNumberFormat="1" applyFont="1" applyFill="1" applyBorder="1" applyAlignment="1">
      <x:alignment horizontal="center" vertical="center" wrapText="1"/>
    </x:xf>
    <x:xf numFmtId="0" fontId="5" fillId="0" borderId="9" xfId="0" applyNumberFormat="1" applyFont="1" applyFill="1" applyBorder="1" applyAlignment="1">
      <x:alignment horizontal="center" vertical="center" wrapText="1"/>
    </x:xf>
    <x:xf numFmtId="0" fontId="6" fillId="0" borderId="9" xfId="0" applyNumberFormat="1" applyFont="1" applyFill="1" applyBorder="1" applyAlignment="1">
      <x:alignment horizontal="center" vertical="center" wrapText="1"/>
    </x:xf>
    <x:xf numFmtId="0" fontId="7" fillId="9" borderId="9" xfId="0" applyNumberFormat="1" applyFont="1" applyFill="1" applyBorder="1" applyAlignment="1">
      <x:alignment horizontal="center" vertical="center" wrapText="1"/>
    </x:xf>
    <x:xf numFmtId="0" fontId="7" fillId="0" borderId="9" xfId="0" applyNumberFormat="1" applyFont="1" applyFill="1" applyBorder="1" applyAlignment="1">
      <x:alignment horizontal="center" vertical="center" wrapText="1"/>
    </x:xf>
    <x:xf numFmtId="0" fontId="7" fillId="0" borderId="9" xfId="0" applyNumberFormat="1" applyFont="1" applyFill="1" applyBorder="1" applyAlignment="1">
      <x:alignment horizontal="left" vertical="center" wrapText="1"/>
    </x:xf>
    <x:xf numFmtId="0" fontId="3" fillId="8" borderId="9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18" fillId="11" borderId="8" xfId="0" applyNumberFormat="1" applyFont="1" applyFill="1" applyBorder="1" applyAlignment="1">
      <x:alignment horizontal="center" vertical="center"/>
    </x:xf>
    <x:xf numFmtId="3" fontId="19" fillId="12" borderId="8" xfId="0" applyNumberFormat="1" applyFont="1" applyFill="1" applyBorder="1" applyAlignment="1">
      <x:alignment horizontal="center" vertical="center"/>
    </x:xf>
    <x:xf numFmtId="0" fontId="20" fillId="13" borderId="8" xfId="0" applyNumberFormat="1" applyFont="1" applyFill="1" applyBorder="1" applyAlignment="1">
      <x:alignment horizontal="center" vertical="center"/>
    </x:xf>
    <x:xf numFmtId="0" fontId="3" fillId="14" borderId="8" xfId="0" applyNumberFormat="1" applyFont="1" applyFill="1" applyBorder="1" applyAlignment="1">
      <x:alignment horizontal="center" vertical="center" wrapText="1"/>
    </x:xf>
    <x:xf numFmtId="0" fontId="21" fillId="15" borderId="10" xfId="0" applyNumberFormat="1" applyFont="1" applyFill="1" applyBorder="1" applyAlignment="1">
      <x:alignment horizontal="center" vertical="center"/>
    </x:xf>
    <x:xf numFmtId="0" fontId="21" fillId="15" borderId="10" xfId="0" applyNumberFormat="1" applyFont="1" applyFill="1" applyBorder="1" applyAlignment="1">
      <x:alignment horizontal="left" vertical="center"/>
    </x:xf>
    <x:xf numFmtId="3" fontId="20" fillId="15" borderId="10" xfId="0" applyNumberFormat="1" applyFont="1" applyFill="1" applyBorder="1" applyAlignment="1">
      <x:alignment horizontal="center" vertical="center"/>
    </x:xf>
    <x:xf numFmtId="3" fontId="21" fillId="15" borderId="10" xfId="0" applyNumberFormat="1" applyFont="1" applyFill="1" applyBorder="1" applyAlignment="1">
      <x:alignment horizontal="center" vertical="center"/>
    </x:xf>
    <x:xf numFmtId="0" fontId="22" fillId="15" borderId="10" xfId="0" applyNumberFormat="1" applyFont="1" applyFill="1" applyBorder="1" applyAlignment="1">
      <x:alignment horizontal="center" vertical="center"/>
    </x:xf>
    <x:xf numFmtId="0" fontId="21" fillId="0" borderId="10" xfId="0" applyNumberFormat="1" applyFont="1" applyFill="1" applyBorder="1" applyAlignment="1">
      <x:alignment horizontal="center" vertical="center"/>
    </x:xf>
    <x:xf numFmtId="0" fontId="21" fillId="0" borderId="10" xfId="0" applyNumberFormat="1" applyFont="1" applyFill="1" applyBorder="1" applyAlignment="1">
      <x:alignment horizontal="left" vertical="center"/>
    </x:xf>
    <x:xf numFmtId="3" fontId="20" fillId="0" borderId="10" xfId="0" applyNumberFormat="1" applyFont="1" applyFill="1" applyBorder="1" applyAlignment="1">
      <x:alignment horizontal="center" vertical="center"/>
    </x:xf>
    <x:xf numFmtId="3" fontId="21" fillId="0" borderId="10" xfId="0" applyNumberFormat="1" applyFont="1" applyFill="1" applyBorder="1" applyAlignment="1">
      <x:alignment horizontal="center" vertical="center"/>
    </x:xf>
    <x:xf numFmtId="0" fontId="22" fillId="0" borderId="10" xfId="0" applyNumberFormat="1" applyFont="1" applyFill="1" applyBorder="1" applyAlignment="1">
      <x:alignment horizontal="center" vertical="center"/>
    </x:xf>
    <x:xf numFmtId="0" fontId="20" fillId="16" borderId="11" xfId="0" applyNumberFormat="1" applyFont="1" applyFill="1" applyBorder="1"/>
    <x:xf numFmtId="0" fontId="20" fillId="16" borderId="11" xfId="0" applyNumberFormat="1" applyFont="1" applyFill="1" applyBorder="1" applyAlignment="1">
      <x:alignment horizontal="center" vertical="center"/>
    </x:xf>
    <x:xf numFmtId="3" fontId="20" fillId="16" borderId="11" xfId="0" applyNumberFormat="1" applyFont="1" applyFill="1" applyBorder="1" applyAlignment="1">
      <x:alignment horizontal="center" vertical="center"/>
    </x:xf>
    <x:xf numFmtId="176" fontId="8" fillId="9" borderId="9" xfId="0" applyNumberFormat="1" applyFont="1" applyFill="1" applyBorder="1" applyAlignment="1">
      <x:alignment horizontal="center" vertical="center" wrapText="1"/>
    </x:xf>
    <x:xf numFmtId="176" fontId="0" fillId="0" borderId="8" xfId="0" applyNumberFormat="1" applyFont="1" applyFill="1" applyBorder="1" applyAlignment="1">
      <x:alignment vertical="center"/>
    </x:xf>
    <x:xf numFmtId="176" fontId="8" fillId="0" borderId="9" xfId="0" applyNumberFormat="1" applyFont="1" applyFill="1" applyBorder="1" applyAlignment="1">
      <x:alignment horizontal="center" vertical="center" wrapText="1"/>
    </x:xf>
    <x:xf numFmtId="176" fontId="21" fillId="13" borderId="8" xfId="0" applyNumberFormat="1" applyFont="1" applyFill="1" applyBorder="1" applyAlignment="1">
      <x:alignment horizontal="center" vertical="center"/>
    </x:xf>
    <x:xf numFmtId="176" fontId="4" fillId="2" borderId="9" xfId="0" applyNumberFormat="1" applyFont="1" applyFill="1" applyBorder="1" applyAlignment="1">
      <x:alignment horizontal="center" vertical="center" wrapText="1"/>
    </x:xf>
    <x:xf numFmtId="176" fontId="0" fillId="0" borderId="8" xfId="0" applyNumberFormat="1" applyFont="1" applyFill="1" applyBorder="1"/>
    <x:xf numFmtId="0" fontId="0" fillId="0" borderId="12" xfId="0" applyNumberFormat="1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vertical="center" wrapText="1"/>
    </x:xf>
    <x:xf numFmtId="0" fontId="24" fillId="18" borderId="12" xfId="0" applyNumberFormat="1" applyFont="1" applyFill="1" applyBorder="1" applyAlignment="1">
      <x:alignment horizontal="center" vertical="center" wrapText="1"/>
    </x:xf>
    <x:xf numFmtId="0" fontId="7" fillId="0" borderId="12" xfId="0" applyNumberFormat="1" applyFont="1" applyFill="1" applyBorder="1" applyAlignment="1">
      <x:alignment horizontal="center" vertical="center"/>
    </x:xf>
    <x:xf numFmtId="0" fontId="21" fillId="0" borderId="12" xfId="0" applyNumberFormat="1" applyFont="1" applyFill="1" applyBorder="1" applyAlignment="1">
      <x:alignment horizontal="center" vertical="center"/>
    </x:xf>
    <x:xf numFmtId="0" fontId="7" fillId="0" borderId="12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 applyAlignment="1">
      <x:alignment horizontal="center"/>
    </x:xf>
    <x:xf numFmtId="1" fontId="19" fillId="19" borderId="12" xfId="0" applyNumberFormat="1" applyFont="1" applyFill="1" applyBorder="1" applyAlignment="1">
      <x:alignment horizontal="center" vertical="center"/>
    </x:xf>
    <x:xf numFmtId="0" fontId="0" fillId="19" borderId="12" xfId="0" applyNumberFormat="1" applyFont="1" applyFill="1" applyBorder="1" applyAlignment="1">
      <x:alignment horizontal="center" vertical="center"/>
    </x:xf>
    <x:xf numFmtId="176" fontId="32" fillId="25" borderId="12" xfId="0" applyNumberFormat="1" applyFont="1" applyFill="1" applyBorder="1" applyAlignment="1">
      <x:alignment horizontal="center" vertical="center" wrapText="1"/>
    </x:xf>
    <x:xf numFmtId="0" fontId="32" fillId="25" borderId="12" xfId="0" applyNumberFormat="1" applyFont="1" applyFill="1" applyBorder="1" applyAlignment="1">
      <x:alignment horizontal="center" vertical="center" wrapText="1"/>
    </x:xf>
    <x:xf numFmtId="0" fontId="30" fillId="23" borderId="12" xfId="0" applyNumberFormat="1" applyFont="1" applyFill="1" applyBorder="1" applyAlignment="1">
      <x:alignment horizontal="center" vertical="center"/>
    </x:xf>
    <x:xf numFmtId="0" fontId="30" fillId="0" borderId="12" xfId="0" applyNumberFormat="1" applyFont="1" applyFill="1" applyBorder="1" applyAlignment="1">
      <x:alignment horizontal="center" vertical="center"/>
    </x:xf>
    <x:xf numFmtId="0" fontId="35" fillId="25" borderId="12" xfId="0" applyNumberFormat="1" applyFont="1" applyFill="1" applyBorder="1" applyAlignment="1">
      <x:alignment horizontal="center" vertical="center" wrapText="1"/>
    </x:xf>
    <x:xf numFmtId="1" fontId="35" fillId="25" borderId="12" xfId="0" applyNumberFormat="1" applyFont="1" applyFill="1" applyBorder="1" applyAlignment="1">
      <x:alignment horizontal="center" vertical="center" wrapText="1"/>
    </x:xf>
    <x:xf numFmtId="1" fontId="32" fillId="25" borderId="12" xfId="0" applyNumberFormat="1" applyFont="1" applyFill="1" applyBorder="1" applyAlignment="1">
      <x:alignment horizontal="center" vertical="center" wrapText="1"/>
    </x:xf>
    <x:xf numFmtId="0" fontId="26" fillId="20" borderId="12" xfId="0" applyNumberFormat="1" applyFont="1" applyFill="1" applyBorder="1" applyAlignment="1">
      <x:alignment horizontal="center" vertical="center"/>
    </x:xf>
    <x:xf numFmtId="1" fontId="26" fillId="20" borderId="12" xfId="0" applyNumberFormat="1" applyFont="1" applyFill="1" applyBorder="1" applyAlignment="1">
      <x:alignment horizontal="center" vertical="center"/>
    </x:xf>
    <x:xf numFmtId="0" fontId="39" fillId="25" borderId="12" xfId="0" applyNumberFormat="1" applyFont="1" applyFill="1" applyBorder="1" applyAlignment="1">
      <x:alignment horizontal="center" vertical="center" wrapText="1"/>
    </x:xf>
    <x:xf numFmtId="0" fontId="4" fillId="18" borderId="12" xfId="0" applyNumberFormat="1" applyFont="1" applyFill="1" applyBorder="1" applyAlignment="1">
      <x:alignment horizontal="center" vertical="center" wrapText="1"/>
    </x:xf>
    <x:xf numFmtId="0" fontId="18" fillId="18" borderId="12" xfId="0" applyNumberFormat="1" applyFont="1" applyFill="1" applyBorder="1" applyAlignment="1">
      <x:alignment horizontal="center" vertical="center" wrapText="1"/>
    </x:xf>
    <x:xf numFmtId="0" fontId="3" fillId="18" borderId="12" xfId="0" applyNumberFormat="1" applyFont="1" applyFill="1" applyBorder="1" applyAlignment="1">
      <x:alignment horizontal="center" vertical="center" wrapText="1"/>
    </x:xf>
    <x:xf numFmtId="0" fontId="37" fillId="25" borderId="12" xfId="0" applyNumberFormat="1" applyFont="1" applyFill="1" applyBorder="1" applyAlignment="1">
      <x:alignment horizontal="center" vertical="center" wrapText="1"/>
    </x:xf>
    <x:xf numFmtId="0" fontId="0" fillId="20" borderId="12" xfId="0" applyNumberFormat="1" applyFont="1" applyFill="1" applyBorder="1" applyAlignment="1">
      <x:alignment horizontal="center" vertical="center"/>
    </x:xf>
    <x:xf numFmtId="0" fontId="39" fillId="25" borderId="12" xfId="0" applyNumberFormat="1" applyFont="1" applyFill="1" applyBorder="1" applyAlignment="1">
      <x:alignment horizontal="center" vertical="center"/>
    </x:xf>
    <x:xf numFmtId="0" fontId="32" fillId="25" borderId="12" xfId="0" applyNumberFormat="1" applyFont="1" applyFill="1" applyBorder="1" applyAlignment="1">
      <x:alignment horizontal="center" vertical="center"/>
    </x:xf>
    <x:xf numFmtId="0" fontId="44" fillId="18" borderId="12" xfId="0" applyNumberFormat="1" applyFont="1" applyFill="1" applyBorder="1" applyAlignment="1">
      <x:alignment horizontal="center" vertical="center" wrapText="1"/>
    </x:xf>
    <x:xf numFmtId="0" fontId="31" fillId="22" borderId="12" xfId="0" applyNumberFormat="1" applyFont="1" applyFill="1" applyBorder="1" applyAlignment="1">
      <x:alignment horizontal="center" vertical="center"/>
    </x:xf>
    <x:xf numFmtId="0" fontId="27" fillId="21" borderId="12" xfId="0" applyNumberFormat="1" applyFont="1" applyFill="1" applyBorder="1" applyAlignment="1">
      <x:alignment horizontal="center" vertical="center"/>
    </x:xf>
    <x:xf numFmtId="0" fontId="28" fillId="0" borderId="12" xfId="0" applyNumberFormat="1" applyFont="1" applyFill="1" applyBorder="1" applyAlignment="1">
      <x:alignment horizontal="center"/>
    </x:xf>
    <x:xf numFmtId="0" fontId="38" fillId="25" borderId="12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/>
    <x:xf numFmtId="0" fontId="25" fillId="20" borderId="12" xfId="0" applyNumberFormat="1" applyFont="1" applyFill="1" applyBorder="1" applyAlignment="1">
      <x:alignment horizontal="center" vertical="center"/>
    </x:xf>
    <x:xf numFmtId="0" fontId="24" fillId="29" borderId="12" xfId="0" applyNumberFormat="1" applyFont="1" applyFill="1" applyBorder="1" applyAlignment="1">
      <x:alignment horizontal="center" vertical="center"/>
    </x:xf>
    <x:xf numFmtId="0" fontId="25" fillId="19" borderId="12" xfId="0" applyNumberFormat="1" applyFont="1" applyFill="1" applyBorder="1" applyAlignment="1">
      <x:alignment horizontal="center" vertical="center"/>
    </x:xf>
    <x:xf numFmtId="0" fontId="29" fillId="19" borderId="12" xfId="0" applyNumberFormat="1" applyFont="1" applyFill="1" applyBorder="1" applyAlignment="1">
      <x:alignment horizontal="center" vertical="center" wrapText="1"/>
    </x:xf>
    <x:xf numFmtId="0" fontId="4" fillId="2" borderId="12" xfId="0" applyNumberFormat="1" applyFont="1" applyFill="1" applyBorder="1" applyAlignment="1">
      <x:alignment horizontal="center" vertical="center" wrapText="1"/>
    </x:xf>
    <x:xf numFmtId="0" fontId="4" fillId="3" borderId="12" xfId="0" applyNumberFormat="1" applyFont="1" applyFill="1" applyBorder="1" applyAlignment="1">
      <x:alignment horizontal="center" vertical="center" wrapText="1"/>
    </x:xf>
    <x:xf numFmtId="0" fontId="4" fillId="4" borderId="12" xfId="0" applyNumberFormat="1" applyFont="1" applyFill="1" applyBorder="1" applyAlignment="1">
      <x:alignment horizontal="center" vertical="center" wrapText="1"/>
    </x:xf>
    <x:xf numFmtId="0" fontId="4" fillId="5" borderId="12" xfId="0" applyNumberFormat="1" applyFont="1" applyFill="1" applyBorder="1" applyAlignment="1">
      <x:alignment horizontal="center" vertical="center" wrapText="1"/>
    </x:xf>
    <x:xf numFmtId="0" fontId="4" fillId="6" borderId="12" xfId="0" applyNumberFormat="1" applyFont="1" applyFill="1" applyBorder="1" applyAlignment="1">
      <x:alignment horizontal="center" vertical="center" wrapText="1"/>
    </x:xf>
    <x:xf numFmtId="0" fontId="4" fillId="7" borderId="12" xfId="0" applyNumberFormat="1" applyFont="1" applyFill="1" applyBorder="1" applyAlignment="1">
      <x:alignment horizontal="center" vertical="center" wrapText="1"/>
    </x:xf>
    <x:xf numFmtId="0" fontId="4" fillId="8" borderId="12" xfId="0" applyNumberFormat="1" applyFont="1" applyFill="1" applyBorder="1" applyAlignment="1">
      <x:alignment horizontal="center" vertical="center" wrapText="1"/>
    </x:xf>
    <x:xf numFmtId="0" fontId="10" fillId="0" borderId="12" xfId="0" applyNumberFormat="1" applyFont="1" applyFill="1" applyBorder="1" applyAlignment="1">
      <x:alignment horizontal="center" vertical="center" wrapText="1"/>
    </x:xf>
    <x:xf numFmtId="0" fontId="5" fillId="10" borderId="12" xfId="0" applyNumberFormat="1" applyFont="1" applyFill="1" applyBorder="1" applyAlignment="1">
      <x:alignment horizontal="center" vertical="center" wrapText="1"/>
    </x:xf>
    <x:xf numFmtId="0" fontId="8" fillId="10" borderId="12" xfId="0" applyNumberFormat="1" applyFont="1" applyFill="1" applyBorder="1" applyAlignment="1">
      <x:alignment horizontal="center" vertical="center" wrapText="1"/>
    </x:xf>
    <x:xf numFmtId="0" fontId="8" fillId="0" borderId="12" xfId="0" applyNumberFormat="1" applyFont="1" applyFill="1" applyBorder="1" applyAlignment="1">
      <x:alignment horizontal="center" vertical="center" wrapText="1"/>
    </x:xf>
    <x:xf numFmtId="0" fontId="11" fillId="0" borderId="12" xfId="0" applyNumberFormat="1" applyFont="1" applyFill="1" applyBorder="1" applyAlignment="1">
      <x:alignment horizontal="center" vertical="center" wrapText="1"/>
    </x:xf>
    <x:xf numFmtId="0" fontId="12" fillId="0" borderId="12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 applyAlignment="1">
      <x:alignment vertical="center"/>
    </x:xf>
    <x:xf numFmtId="0" fontId="34" fillId="28" borderId="12" xfId="0" applyNumberFormat="1" applyFont="1" applyFill="1" applyBorder="1" applyAlignment="1">
      <x:alignment horizontal="center" vertical="center" wrapText="1"/>
    </x:xf>
    <x:xf numFmtId="0" fontId="41" fillId="28" borderId="12" xfId="0" applyNumberFormat="1" applyFont="1" applyFill="1" applyBorder="1" applyAlignment="1">
      <x:alignment horizontal="center" vertical="center" wrapText="1"/>
    </x:xf>
    <x:xf numFmtId="0" fontId="2" fillId="25" borderId="12" xfId="0" applyNumberFormat="1" applyFont="1" applyFill="1" applyBorder="1" applyAlignment="1">
      <x:alignment horizontal="center" vertical="center" wrapText="1"/>
    </x:xf>
    <x:xf numFmtId="0" fontId="43" fillId="25" borderId="12" xfId="0" applyNumberFormat="1" applyFont="1" applyFill="1" applyBorder="1" applyAlignment="1">
      <x:alignment horizontal="center" vertical="center" wrapText="1"/>
    </x:xf>
    <x:xf numFmtId="1" fontId="5" fillId="10" borderId="12" xfId="0" applyNumberFormat="1" applyFont="1" applyFill="1" applyBorder="1" applyAlignment="1">
      <x:alignment horizontal="center" vertical="center" wrapText="1"/>
    </x:xf>
    <x:xf numFmtId="1" fontId="14" fillId="9" borderId="12" xfId="0" applyNumberFormat="1" applyFont="1" applyFill="1" applyBorder="1" applyAlignment="1">
      <x:alignment horizontal="center" vertical="center" wrapText="1"/>
    </x:xf>
    <x:xf numFmtId="1" fontId="2" fillId="0" borderId="12" xfId="0" applyNumberFormat="1" applyFont="1" applyFill="1" applyBorder="1" applyAlignment="1">
      <x:alignment horizontal="center"/>
    </x:xf>
    <x:xf numFmtId="1" fontId="2" fillId="25" borderId="12" xfId="0" applyNumberFormat="1" applyFont="1" applyFill="1" applyBorder="1" applyAlignment="1">
      <x:alignment horizontal="center" vertical="center" wrapText="1"/>
    </x:xf>
    <x:xf numFmtId="176" fontId="7" fillId="0" borderId="12" xfId="0" applyNumberFormat="1" applyFont="1" applyFill="1" applyBorder="1" applyAlignment="1">
      <x:alignment horizontal="center" vertical="center" wrapText="1"/>
    </x:xf>
    <x:xf numFmtId="176" fontId="6" fillId="0" borderId="12" xfId="0" applyNumberFormat="1" applyFont="1" applyFill="1" applyBorder="1" applyAlignment="1">
      <x:alignment horizontal="center" vertical="center" wrapText="1"/>
    </x:xf>
    <x:xf numFmtId="1" fontId="7" fillId="0" borderId="12" xfId="0" applyNumberFormat="1" applyFont="1" applyFill="1" applyBorder="1" applyAlignment="1">
      <x:alignment horizontal="center" vertical="center" wrapText="1"/>
    </x:xf>
    <x:xf numFmtId="1" fontId="6" fillId="0" borderId="12" xfId="0" applyNumberFormat="1" applyFont="1" applyFill="1" applyBorder="1" applyAlignment="1">
      <x:alignment horizontal="center" vertical="center" wrapText="1"/>
    </x:xf>
    <x:xf numFmtId="1" fontId="32" fillId="25" borderId="12" xfId="0" applyNumberFormat="1" applyFont="1" applyFill="1" applyBorder="1" applyAlignment="1">
      <x:alignment horizontal="center" vertical="center"/>
    </x:xf>
    <x:xf numFmtId="1" fontId="0" fillId="0" borderId="8" xfId="0" applyNumberFormat="1" applyFont="1" applyFill="1" applyBorder="1" applyAlignment="1">
      <x:alignment vertical="center"/>
    </x:xf>
    <x:xf numFmtId="0" fontId="45" fillId="10" borderId="12" xfId="0" applyNumberFormat="1" applyFont="1" applyFill="1" applyBorder="1" applyAlignment="1">
      <x:alignment horizontal="center" vertical="center"/>
    </x:xf>
    <x:xf numFmtId="0" fontId="6" fillId="10" borderId="12" xfId="0" applyNumberFormat="1" applyFont="1" applyFill="1" applyBorder="1" applyAlignment="1">
      <x:alignment horizontal="center" vertical="center" wrapText="1"/>
    </x:xf>
    <x:xf numFmtId="0" fontId="48" fillId="10" borderId="12" xfId="0" applyNumberFormat="1" applyFont="1" applyFill="1" applyBorder="1" applyAlignment="1">
      <x:alignment horizontal="center" vertical="center" wrapText="1"/>
    </x:xf>
    <x:xf numFmtId="0" fontId="49" fillId="10" borderId="12" xfId="0" applyNumberFormat="1" applyFont="1" applyFill="1" applyBorder="1" applyAlignment="1">
      <x:alignment horizontal="center" vertical="center"/>
    </x:xf>
    <x:xf numFmtId="0" fontId="50" fillId="10" borderId="12" xfId="0" applyNumberFormat="1" applyFont="1" applyFill="1" applyBorder="1" applyAlignment="1">
      <x:alignment horizontal="center" vertical="center"/>
    </x:xf>
    <x:xf numFmtId="0" fontId="45" fillId="10" borderId="8" xfId="0" applyNumberFormat="1" applyFont="1" applyFill="1" applyBorder="1" applyAlignment="1">
      <x:alignment vertical="center"/>
    </x:xf>
    <x:xf numFmtId="0" fontId="5" fillId="9" borderId="12" xfId="0" applyNumberFormat="1" applyFont="1" applyFill="1" applyBorder="1" applyAlignment="1">
      <x:alignment horizontal="center" vertical="center" wrapText="1"/>
    </x:xf>
    <x:xf numFmtId="0" fontId="6" fillId="9" borderId="12" xfId="0" applyNumberFormat="1" applyFont="1" applyFill="1" applyBorder="1" applyAlignment="1">
      <x:alignment horizontal="center" vertical="center" wrapText="1"/>
    </x:xf>
    <x:xf numFmtId="0" fontId="0" fillId="25" borderId="12" xfId="0" applyNumberFormat="1" applyFont="1" applyFill="1" applyBorder="1" applyAlignment="1">
      <x:alignment horizontal="center" vertical="center"/>
    </x:xf>
    <x:xf numFmtId="0" fontId="48" fillId="9" borderId="12" xfId="0" applyNumberFormat="1" applyFont="1" applyFill="1" applyBorder="1" applyAlignment="1">
      <x:alignment horizontal="center" vertical="center" wrapText="1"/>
    </x:xf>
    <x:xf numFmtId="0" fontId="10" fillId="25" borderId="12" xfId="0" applyNumberFormat="1" applyFont="1" applyFill="1" applyBorder="1" applyAlignment="1">
      <x:alignment horizontal="center" vertical="center" wrapText="1"/>
    </x:xf>
    <x:xf numFmtId="0" fontId="51" fillId="9" borderId="12" xfId="0" applyNumberFormat="1" applyFont="1" applyFill="1" applyBorder="1" applyAlignment="1">
      <x:alignment horizontal="center" vertical="center" wrapText="1"/>
    </x:xf>
    <x:xf numFmtId="0" fontId="52" fillId="9" borderId="12" xfId="0" applyNumberFormat="1" applyFont="1" applyFill="1" applyBorder="1" applyAlignment="1">
      <x:alignment horizontal="center" vertical="center" wrapText="1"/>
    </x:xf>
    <x:xf numFmtId="0" fontId="49" fillId="9" borderId="12" xfId="0" applyNumberFormat="1" applyFont="1" applyFill="1" applyBorder="1" applyAlignment="1">
      <x:alignment horizontal="center" vertical="center"/>
    </x:xf>
    <x:xf numFmtId="0" fontId="50" fillId="9" borderId="12" xfId="0" applyNumberFormat="1" applyFont="1" applyFill="1" applyBorder="1" applyAlignment="1">
      <x:alignment horizontal="center" vertical="center"/>
    </x:xf>
    <x:xf numFmtId="0" fontId="33" fillId="25" borderId="12" xfId="0" applyNumberFormat="1" applyFont="1" applyFill="1" applyBorder="1" applyAlignment="1">
      <x:alignment horizontal="center" vertical="center"/>
    </x:xf>
    <x:xf numFmtId="0" fontId="45" fillId="9" borderId="8" xfId="0" applyNumberFormat="1" applyFont="1" applyFill="1" applyBorder="1" applyAlignment="1">
      <x:alignment vertical="center"/>
    </x:xf>
    <x:xf numFmtId="0" fontId="0" fillId="25" borderId="8" xfId="0" applyNumberFormat="1" applyFont="1" applyFill="1" applyBorder="1" applyAlignment="1">
      <x:alignment vertical="center"/>
    </x:xf>
    <x:xf numFmtId="1" fontId="6" fillId="0" borderId="9" xfId="0" applyNumberFormat="1" applyFont="1" applyFill="1" applyBorder="1" applyAlignment="1">
      <x:alignment horizontal="center" vertical="center" wrapText="1"/>
    </x:xf>
    <x:xf numFmtId="1" fontId="7" fillId="0" borderId="9" xfId="0" applyNumberFormat="1" applyFont="1" applyFill="1" applyBorder="1" applyAlignment="1">
      <x:alignment horizontal="center" vertical="center" wrapText="1"/>
    </x:xf>
    <x:xf numFmtId="0" fontId="32" fillId="10" borderId="12" xfId="0" applyNumberFormat="1" applyFont="1" applyFill="1" applyBorder="1" applyAlignment="1">
      <x:alignment horizontal="center" vertical="center" wrapText="1"/>
    </x:xf>
    <x:xf numFmtId="1" fontId="46" fillId="10" borderId="12" xfId="0" applyNumberFormat="1" applyFont="1" applyFill="1" applyBorder="1" applyAlignment="1">
      <x:alignment horizontal="center" vertical="center" wrapText="1"/>
    </x:xf>
    <x:xf numFmtId="1" fontId="47" fillId="10" borderId="12" xfId="0" applyNumberFormat="1" applyFont="1" applyFill="1" applyBorder="1" applyAlignment="1">
      <x:alignment horizontal="center"/>
    </x:xf>
    <x:xf numFmtId="1" fontId="6" fillId="10" borderId="12" xfId="0" applyNumberFormat="1" applyFont="1" applyFill="1" applyBorder="1" applyAlignment="1">
      <x:alignment horizontal="center" vertical="center" wrapText="1"/>
    </x:xf>
    <x:xf numFmtId="1" fontId="49" fillId="10" borderId="12" xfId="0" applyNumberFormat="1" applyFont="1" applyFill="1" applyBorder="1" applyAlignment="1">
      <x:alignment horizontal="center" vertical="center"/>
    </x:xf>
    <x:xf numFmtId="1" fontId="0" fillId="10" borderId="8" xfId="0" applyNumberFormat="1" applyFont="1" applyFill="1" applyBorder="1" applyAlignment="1">
      <x:alignment vertical="center"/>
    </x:xf>
    <x:xf numFmtId="1" fontId="45" fillId="10" borderId="8" xfId="0" applyNumberFormat="1" applyFont="1" applyFill="1" applyBorder="1" applyAlignment="1">
      <x:alignment vertical="center"/>
    </x:xf>
    <x:xf numFmtId="1" fontId="5" fillId="9" borderId="12" xfId="0" applyNumberFormat="1" applyFont="1" applyFill="1" applyBorder="1" applyAlignment="1">
      <x:alignment horizontal="center" vertical="center" wrapText="1"/>
    </x:xf>
    <x:xf numFmtId="176" fontId="14" fillId="25" borderId="12" xfId="0" applyNumberFormat="1" applyFont="1" applyFill="1" applyBorder="1" applyAlignment="1">
      <x:alignment horizontal="center" vertical="center" wrapText="1"/>
    </x:xf>
    <x:xf numFmtId="1" fontId="6" fillId="9" borderId="12" xfId="0" applyNumberFormat="1" applyFont="1" applyFill="1" applyBorder="1" applyAlignment="1">
      <x:alignment horizontal="center" vertical="center" wrapText="1"/>
    </x:xf>
    <x:xf numFmtId="1" fontId="48" fillId="9" borderId="12" xfId="0" applyNumberFormat="1" applyFont="1" applyFill="1" applyBorder="1" applyAlignment="1">
      <x:alignment horizontal="center" vertical="center" wrapText="1"/>
    </x:xf>
    <x:xf numFmtId="1" fontId="49" fillId="9" borderId="12" xfId="0" applyNumberFormat="1" applyFont="1" applyFill="1" applyBorder="1" applyAlignment="1">
      <x:alignment horizontal="center" vertical="center"/>
    </x:xf>
    <x:xf numFmtId="1" fontId="45" fillId="9" borderId="8" xfId="0" applyNumberFormat="1" applyFont="1" applyFill="1" applyBorder="1" applyAlignment="1">
      <x:alignment vertical="center"/>
    </x:xf>
    <x:xf numFmtId="1" fontId="32" fillId="10" borderId="12" xfId="0" applyNumberFormat="1" applyFont="1" applyFill="1" applyBorder="1" applyAlignment="1">
      <x:alignment horizontal="center" vertical="center" wrapText="1"/>
    </x:xf>
    <x:xf numFmtId="0" fontId="7" fillId="25" borderId="12" xfId="0" applyNumberFormat="1" applyFont="1" applyFill="1" applyBorder="1" applyAlignment="1">
      <x:alignment horizontal="center" vertical="center" wrapText="1"/>
    </x:xf>
    <x:xf numFmtId="176" fontId="47" fillId="25" borderId="12" xfId="0" applyNumberFormat="1" applyFont="1" applyFill="1" applyBorder="1" applyAlignment="1">
      <x:alignment horizontal="center"/>
    </x:xf>
    <x:xf numFmtId="1" fontId="7" fillId="25" borderId="12" xfId="0" applyNumberFormat="1" applyFont="1" applyFill="1" applyBorder="1" applyAlignment="1">
      <x:alignment horizontal="center" vertical="center" wrapText="1"/>
    </x:xf>
    <x:xf numFmtId="1" fontId="6" fillId="25" borderId="12" xfId="0" applyNumberFormat="1" applyFont="1" applyFill="1" applyBorder="1" applyAlignment="1">
      <x:alignment horizontal="center" vertical="center" wrapText="1"/>
    </x:xf>
    <x:xf numFmtId="176" fontId="0" fillId="0" borderId="12" xfId="0" applyNumberFormat="1" applyFont="1" applyFill="1" applyBorder="1" applyAlignment="1">
      <x:alignment horizontal="center" vertical="center"/>
    </x:xf>
    <x:xf numFmtId="0" fontId="5" fillId="25" borderId="12" xfId="0" applyNumberFormat="1" applyFont="1" applyFill="1" applyBorder="1" applyAlignment="1">
      <x:alignment horizontal="center" vertical="center" wrapText="1"/>
    </x:xf>
    <x:xf numFmtId="1" fontId="5" fillId="25" borderId="12" xfId="0" applyNumberFormat="1" applyFont="1" applyFill="1" applyBorder="1" applyAlignment="1">
      <x:alignment horizontal="center" vertical="center" wrapText="1"/>
    </x:xf>
    <x:xf numFmtId="0" fontId="52" fillId="25" borderId="12" xfId="0" applyNumberFormat="1" applyFont="1" applyFill="1" applyBorder="1" applyAlignment="1">
      <x:alignment horizontal="center" vertical="center" wrapText="1"/>
    </x:xf>
    <x:xf numFmtId="0" fontId="49" fillId="25" borderId="12" xfId="0" applyNumberFormat="1" applyFont="1" applyFill="1" applyBorder="1" applyAlignment="1">
      <x:alignment horizontal="center" vertical="center"/>
    </x:xf>
    <x:xf numFmtId="1" fontId="49" fillId="25" borderId="12" xfId="0" applyNumberFormat="1" applyFont="1" applyFill="1" applyBorder="1" applyAlignment="1">
      <x:alignment horizontal="center" vertical="center"/>
    </x:xf>
    <x:xf numFmtId="0" fontId="45" fillId="25" borderId="8" xfId="0" applyNumberFormat="1" applyFont="1" applyFill="1" applyBorder="1" applyAlignment="1">
      <x:alignment vertical="center"/>
    </x:xf>
    <x:xf numFmtId="1" fontId="45" fillId="25" borderId="8" xfId="0" applyNumberFormat="1" applyFont="1" applyFill="1" applyBorder="1" applyAlignment="1">
      <x:alignment vertical="center"/>
    </x:xf>
    <x:xf numFmtId="1" fontId="0" fillId="0" borderId="12" xfId="0" applyNumberFormat="1" applyFont="1" applyFill="1" applyBorder="1" applyAlignment="1">
      <x:alignment horizontal="center" vertical="center"/>
    </x:xf>
    <x:xf numFmtId="1" fontId="0" fillId="0" borderId="12" xfId="0" applyNumberFormat="1" applyFont="1" applyFill="1" applyBorder="1" applyAlignment="1">
      <x:alignment vertical="center"/>
    </x:xf>
    <x:xf numFmtId="1" fontId="38" fillId="25" borderId="12" xfId="0" applyNumberFormat="1" applyFont="1" applyFill="1" applyBorder="1" applyAlignment="1">
      <x:alignment horizontal="center" vertical="center" wrapText="1"/>
    </x:xf>
    <x:xf numFmtId="1" fontId="40" fillId="28" borderId="12" xfId="0" applyNumberFormat="1" applyFont="1" applyFill="1" applyBorder="1" applyAlignment="1">
      <x:alignment horizontal="center" vertical="center" wrapText="1"/>
    </x:xf>
    <x:xf numFmtId="1" fontId="30" fillId="23" borderId="12" xfId="0" applyNumberFormat="1" applyFont="1" applyFill="1" applyBorder="1" applyAlignment="1">
      <x:alignment horizontal="center" vertical="center"/>
    </x:xf>
    <x:xf numFmtId="1" fontId="30" fillId="0" borderId="12" xfId="0" applyNumberFormat="1" applyFont="1" applyFill="1" applyBorder="1" applyAlignment="1">
      <x:alignment horizontal="center" vertical="center"/>
    </x:xf>
    <x:xf numFmtId="1" fontId="0" fillId="0" borderId="12" xfId="0" applyNumberFormat="1" applyFont="1" applyFill="1" applyBorder="1" applyAlignment="1">
      <x:alignment horizontal="center"/>
    </x:xf>
    <x:xf numFmtId="1" fontId="45" fillId="25" borderId="8" xfId="0" applyNumberFormat="1" applyFont="1" applyFill="1" applyBorder="1" applyAlignment="1">
      <x:alignment horizontal="center" vertical="center"/>
    </x:xf>
    <x:xf numFmtId="0" fontId="0" fillId="9" borderId="8" xfId="0" applyNumberFormat="1" applyFont="1" applyFill="1" applyBorder="1" applyAlignment="1">
      <x:alignment horizontal="center" vertical="center"/>
    </x:xf>
    <x:xf numFmtId="1" fontId="0" fillId="9" borderId="8" xfId="0" applyNumberFormat="1" applyFont="1" applyFill="1" applyBorder="1" applyAlignment="1">
      <x:alignment horizontal="center" vertical="center"/>
    </x:xf>
    <x:xf numFmtId="0" fontId="45" fillId="25" borderId="8" xfId="0" applyNumberFormat="1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horizontal="center" vertical="center"/>
    </x:xf>
    <x:xf numFmtId="1" fontId="0" fillId="0" borderId="8" xfId="0" applyNumberFormat="1" applyFont="1" applyFill="1" applyBorder="1" applyAlignment="1">
      <x:alignment horizontal="center" vertical="center"/>
    </x:xf>
    <x:xf numFmtId="1" fontId="45" fillId="0" borderId="12" xfId="0" applyNumberFormat="1" applyFont="1" applyFill="1" applyBorder="1" applyAlignment="1">
      <x:alignment horizontal="center" vertical="center"/>
    </x:xf>
    <x:xf numFmtId="176" fontId="40" fillId="28" borderId="12" xfId="0" applyNumberFormat="1" applyFont="1" applyFill="1" applyBorder="1" applyAlignment="1">
      <x:alignment horizontal="center" vertical="center" wrapText="1"/>
    </x:xf>
    <x:xf numFmtId="1" fontId="58" fillId="25" borderId="13" xfId="0" applyNumberFormat="1" applyFont="1" applyFill="1" applyBorder="1" applyAlignment="1">
      <x:alignment horizontal="center" vertical="center" wrapText="1"/>
    </x:xf>
    <x:xf numFmtId="1" fontId="45" fillId="0" borderId="8" xfId="0" applyNumberFormat="1" applyFont="1" applyFill="1" applyBorder="1" applyAlignment="1">
      <x:alignment vertical="center"/>
    </x:xf>
    <x:xf numFmtId="0" fontId="9" fillId="2" borderId="8" xfId="0" applyNumberFormat="1" applyFont="1" applyFill="1" applyBorder="1" applyAlignment="1">
      <x:alignment horizontal="center" vertical="center" wrapText="1"/>
    </x:xf>
    <x:xf numFmtId="0" fontId="13" fillId="2" borderId="12" xfId="0" applyNumberFormat="1" applyFont="1" applyFill="1" applyBorder="1" applyAlignment="1">
      <x:alignment horizontal="center" vertical="center" wrapText="1"/>
    </x:xf>
    <x:xf numFmtId="0" fontId="9" fillId="2" borderId="14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15" fillId="0" borderId="8" xfId="0" applyNumberFormat="1" applyFont="1" applyFill="1" applyBorder="1" applyAlignment="1">
      <x:alignment horizontal="center" vertical="center"/>
    </x:xf>
    <x:xf numFmtId="0" fontId="17" fillId="0" borderId="8" xfId="0" applyNumberFormat="1" applyFont="1" applyFill="1" applyBorder="1"/>
    <x:xf numFmtId="0" fontId="16" fillId="0" borderId="8" xfId="0" applyNumberFormat="1" applyFont="1" applyFill="1" applyBorder="1" applyAlignment="1">
      <x:alignment horizontal="left" vertical="center"/>
    </x:xf>
    <x:xf numFmtId="0" fontId="23" fillId="17" borderId="12" xfId="0" applyNumberFormat="1" applyFont="1" applyFill="1" applyBorder="1" applyAlignment="1">
      <x:alignment horizontal="center" vertical="center"/>
    </x:xf>
    <x:xf numFmtId="0" fontId="0" fillId="35" borderId="0" xfId="0" applyNumberFormat="1" applyFont="1" applyFill="1" applyBorder="1" applyAlignment="1">
      <x:alignment vertical="center"/>
    </x:xf>
    <x:xf numFmtId="0" fontId="61" fillId="35" borderId="0" xfId="0" applyNumberFormat="1" applyFont="1" applyFill="1" applyBorder="1" applyAlignment="1">
      <x:alignment vertical="center"/>
    </x:xf>
    <x:xf numFmtId="0" fontId="0" fillId="35" borderId="8" xfId="0" applyNumberFormat="1" applyFont="1" applyFill="1" applyBorder="1" applyAlignment="1">
      <x:alignment vertical="center"/>
    </x:xf>
    <x:xf numFmtId="0" fontId="61" fillId="35" borderId="8" xfId="0" applyNumberFormat="1" applyFont="1" applyFill="1" applyBorder="1" applyAlignment="1">
      <x:alignment vertical="center"/>
    </x:xf>
    <x:xf numFmtId="0" fontId="0" fillId="36" borderId="0" xfId="0" applyNumberFormat="1" applyFont="1" applyFill="1" applyBorder="1" applyAlignment="1">
      <x:alignment vertical="center"/>
    </x:xf>
    <x:xf numFmtId="0" fontId="62" fillId="36" borderId="0" xfId="0" applyNumberFormat="1" applyFont="1" applyFill="1" applyBorder="1" applyAlignment="1">
      <x:alignment vertical="center"/>
    </x:xf>
    <x:xf numFmtId="0" fontId="0" fillId="36" borderId="8" xfId="0" applyNumberFormat="1" applyFont="1" applyFill="1" applyBorder="1" applyAlignment="1">
      <x:alignment vertical="center"/>
    </x:xf>
    <x:xf numFmtId="0" fontId="62" fillId="36" borderId="8" xfId="0" applyNumberFormat="1" applyFont="1" applyFill="1" applyBorder="1" applyAlignment="1">
      <x:alignment vertical="center"/>
    </x:xf>
    <x:xf numFmtId="0" fontId="0" fillId="37" borderId="0" xfId="0" applyNumberFormat="1" applyFont="1" applyFill="1" applyBorder="1" applyAlignment="1">
      <x:alignment vertical="center"/>
    </x:xf>
    <x:xf numFmtId="0" fontId="3" fillId="37" borderId="0" xfId="0" applyNumberFormat="1" applyFont="1" applyFill="1" applyBorder="1" applyAlignment="1">
      <x:alignment vertical="center"/>
    </x:xf>
    <x:xf numFmtId="0" fontId="3" fillId="37" borderId="0" xfId="0" applyNumberFormat="1" applyFont="1" applyFill="1" applyBorder="1" applyAlignment="1">
      <x:alignment vertical="center" wrapText="1"/>
    </x:xf>
    <x:xf numFmtId="0" fontId="3" fillId="37" borderId="0" xfId="0" applyNumberFormat="1" applyFont="1" applyFill="1" applyBorder="1" applyAlignment="1">
      <x:alignment horizontal="center" vertical="center" wrapText="1"/>
    </x:xf>
    <x:xf numFmtId="0" fontId="0" fillId="37" borderId="8" xfId="0" applyNumberFormat="1" applyFont="1" applyFill="1" applyBorder="1" applyAlignment="1">
      <x:alignment vertical="center"/>
    </x:xf>
    <x:xf numFmtId="0" fontId="3" fillId="37" borderId="8" xfId="0" applyNumberFormat="1" applyFont="1" applyFill="1" applyBorder="1" applyAlignment="1">
      <x:alignment vertical="center"/>
    </x:xf>
    <x:xf numFmtId="0" fontId="3" fillId="37" borderId="8" xfId="0" applyNumberFormat="1" applyFont="1" applyFill="1" applyBorder="1" applyAlignment="1">
      <x:alignment vertical="center" wrapText="1"/>
    </x:xf>
    <x:xf numFmtId="0" fontId="3" fillId="37" borderId="8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45" fillId="0" borderId="0" xfId="0" applyNumberFormat="1" applyFont="1" applyFill="1" applyBorder="1" applyAlignment="1">
      <x:alignment horizontal="center" vertical="center"/>
    </x:xf>
    <x:xf numFmtId="0" fontId="45" fillId="0" borderId="8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 applyAlignment="1">
      <x:alignment horizontal="center" vertical="center"/>
    </x:xf>
    <x:xf numFmtId="200" fontId="0" fillId="0" borderId="8" xfId="0" applyNumberFormat="1" applyFont="1" applyFill="1" applyBorder="1" applyAlignment="1">
      <x:alignment horizontal="center" vertical="center"/>
    </x:xf>
    <x:xf numFmtId="176" fontId="0" fillId="0" borderId="0" xfId="0" applyNumberFormat="1" applyFont="1" applyFill="1" applyBorder="1" applyAlignment="1">
      <x:alignment horizontal="center" vertical="center"/>
    </x:xf>
    <x:xf numFmtId="176" fontId="0" fillId="0" borderId="8" xfId="0" applyNumberFormat="1" applyFont="1" applyFill="1" applyBorder="1" applyAlignment="1">
      <x:alignment horizontal="center" vertical="center"/>
    </x:xf>
    <x:xf numFmtId="200" fontId="0" fillId="38" borderId="0" xfId="0" applyNumberFormat="1" applyFont="1" applyFill="1" applyBorder="1" applyAlignment="1">
      <x:alignment horizontal="center" vertical="center"/>
    </x:xf>
    <x:xf numFmtId="200" fontId="0" fillId="38" borderId="8" xfId="0" applyNumberFormat="1" applyFont="1" applyFill="1" applyBorder="1" applyAlignment="1">
      <x:alignment horizontal="center" vertical="center"/>
    </x:xf>
    <x:xf numFmtId="176" fontId="0" fillId="38" borderId="0" xfId="0" applyNumberFormat="1" applyFont="1" applyFill="1" applyBorder="1" applyAlignment="1">
      <x:alignment horizontal="center" vertical="center"/>
    </x:xf>
    <x:xf numFmtId="176" fontId="0" fillId="38" borderId="8" xfId="0" applyNumberFormat="1" applyFont="1" applyFill="1" applyBorder="1" applyAlignment="1">
      <x:alignment horizontal="center" vertical="center"/>
    </x:xf>
    <x:xf numFmtId="200" fontId="0" fillId="39" borderId="0" xfId="0" applyNumberFormat="1" applyFont="1" applyFill="1" applyBorder="1" applyAlignment="1">
      <x:alignment horizontal="center" vertical="center"/>
    </x:xf>
    <x:xf numFmtId="200" fontId="63" fillId="39" borderId="0" xfId="0" applyNumberFormat="1" applyFont="1" applyFill="1" applyBorder="1" applyAlignment="1">
      <x:alignment horizontal="center" vertical="center"/>
    </x:xf>
    <x:xf numFmtId="200" fontId="0" fillId="39" borderId="8" xfId="0" applyNumberFormat="1" applyFont="1" applyFill="1" applyBorder="1" applyAlignment="1">
      <x:alignment horizontal="center" vertical="center"/>
    </x:xf>
    <x:xf numFmtId="200" fontId="63" fillId="39" borderId="8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45" fillId="40" borderId="0" xfId="0" applyNumberFormat="1" applyFont="1" applyFill="1" applyBorder="1" applyAlignment="1">
      <x:alignment horizontal="center" vertical="center"/>
    </x:xf>
    <x:xf numFmtId="200" fontId="0" fillId="40" borderId="0" xfId="0" applyNumberFormat="1" applyFont="1" applyFill="1" applyBorder="1" applyAlignment="1">
      <x:alignment horizontal="center" vertical="center"/>
    </x:xf>
    <x:xf numFmtId="200" fontId="63" fillId="40" borderId="0" xfId="0" applyNumberFormat="1" applyFont="1" applyFill="1" applyBorder="1" applyAlignment="1">
      <x:alignment horizontal="center" vertical="center"/>
    </x:xf>
    <x:xf numFmtId="176" fontId="0" fillId="40" borderId="0" xfId="0" applyNumberFormat="1" applyFont="1" applyFill="1" applyBorder="1" applyAlignment="1">
      <x:alignment horizontal="center" vertical="center"/>
    </x:xf>
    <x:xf numFmtId="0" fontId="0" fillId="40" borderId="0" xfId="0" applyNumberFormat="1" applyFont="1" applyFill="1" applyBorder="1" applyAlignment="1">
      <x:alignment horizontal="center" vertical="center"/>
    </x:xf>
    <x:xf numFmtId="0" fontId="0" fillId="40" borderId="0" xfId="0" applyNumberFormat="1" applyFont="1" applyFill="1" applyBorder="1" applyAlignment="1">
      <x:alignment vertical="center" wrapText="1"/>
    </x:xf>
    <x:xf numFmtId="0" fontId="45" fillId="40" borderId="8" xfId="0" applyNumberFormat="1" applyFont="1" applyFill="1" applyBorder="1" applyAlignment="1">
      <x:alignment horizontal="center" vertical="center"/>
    </x:xf>
    <x:xf numFmtId="200" fontId="0" fillId="40" borderId="8" xfId="0" applyNumberFormat="1" applyFont="1" applyFill="1" applyBorder="1" applyAlignment="1">
      <x:alignment horizontal="center" vertical="center"/>
    </x:xf>
    <x:xf numFmtId="200" fontId="63" fillId="40" borderId="8" xfId="0" applyNumberFormat="1" applyFont="1" applyFill="1" applyBorder="1" applyAlignment="1">
      <x:alignment horizontal="center" vertical="center"/>
    </x:xf>
    <x:xf numFmtId="176" fontId="0" fillId="40" borderId="8" xfId="0" applyNumberFormat="1" applyFont="1" applyFill="1" applyBorder="1" applyAlignment="1">
      <x:alignment horizontal="center" vertical="center"/>
    </x:xf>
    <x:xf numFmtId="0" fontId="0" fillId="40" borderId="8" xfId="0" applyNumberFormat="1" applyFont="1" applyFill="1" applyBorder="1" applyAlignment="1">
      <x:alignment horizontal="center" vertical="center"/>
    </x:xf>
    <x:xf numFmtId="0" fontId="0" fillId="40" borderId="8" xfId="0" applyNumberFormat="1" applyFont="1" applyFill="1" applyBorder="1" applyAlignment="1">
      <x:alignment vertical="center" wrapText="1"/>
    </x:xf>
    <x:xf numFmtId="0" fontId="64" fillId="0" borderId="0" xfId="0" applyNumberFormat="1" applyFont="1" applyFill="1" applyBorder="1" applyAlignment="1">
      <x:alignment vertical="center"/>
    </x:xf>
    <x:xf numFmtId="0" fontId="64" fillId="0" borderId="8" xfId="0" applyNumberFormat="1" applyFont="1" applyFill="1" applyBorder="1" applyAlignment="1">
      <x:alignment vertical="center"/>
    </x:xf>
    <x:xf numFmtId="0" fontId="18" fillId="35" borderId="0" xfId="0" applyNumberFormat="1" applyFont="1" applyFill="1" applyBorder="1" applyAlignment="1">
      <x:alignment vertical="center"/>
    </x:xf>
    <x:xf numFmtId="0" fontId="18" fillId="35" borderId="8" xfId="0" applyNumberFormat="1" applyFont="1" applyFill="1" applyBorder="1" applyAlignment="1">
      <x:alignment vertical="center"/>
    </x:xf>
    <x:xf numFmtId="0" fontId="0" fillId="41" borderId="0" xfId="0" applyNumberFormat="1" applyFont="1" applyFill="1" applyBorder="1" applyAlignment="1">
      <x:alignment vertical="center"/>
    </x:xf>
    <x:xf numFmtId="0" fontId="65" fillId="41" borderId="0" xfId="0" applyNumberFormat="1" applyFont="1" applyFill="1" applyBorder="1" applyAlignment="1">
      <x:alignment vertical="center"/>
    </x:xf>
    <x:xf numFmtId="0" fontId="65" fillId="41" borderId="0" xfId="0" applyNumberFormat="1" applyFont="1" applyFill="1" applyBorder="1" applyAlignment="1">
      <x:alignment vertical="center" wrapText="1"/>
    </x:xf>
    <x:xf numFmtId="0" fontId="0" fillId="41" borderId="8" xfId="0" applyNumberFormat="1" applyFont="1" applyFill="1" applyBorder="1" applyAlignment="1">
      <x:alignment vertical="center"/>
    </x:xf>
    <x:xf numFmtId="0" fontId="65" fillId="41" borderId="8" xfId="0" applyNumberFormat="1" applyFont="1" applyFill="1" applyBorder="1" applyAlignment="1">
      <x:alignment vertical="center"/>
    </x:xf>
    <x:xf numFmtId="0" fontId="65" fillId="41" borderId="8" xfId="0" applyNumberFormat="1" applyFont="1" applyFill="1" applyBorder="1" applyAlignment="1">
      <x:alignment vertical="center" wrapText="1"/>
    </x:xf>
    <x:xf numFmtId="0" fontId="66" fillId="0" borderId="0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4" fillId="7" borderId="1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 applyAlignment="1">
      <x:alignment horizontal="center" vertical="center" wrapText="1"/>
    </x:xf>
    <x:xf numFmtId="0" fontId="5" fillId="0" borderId="1" xfId="0" applyNumberFormat="1" applyFont="1" applyFill="1" applyBorder="1" applyAlignment="1">
      <x:alignment horizontal="center" vertical="center" wrapText="1"/>
    </x:xf>
    <x:xf numFmtId="0" fontId="6" fillId="0" borderId="1" xfId="0" applyNumberFormat="1" applyFont="1" applyFill="1" applyBorder="1" applyAlignment="1">
      <x:alignment horizontal="center" vertical="center" wrapText="1"/>
    </x:xf>
    <x:xf numFmtId="0" fontId="7" fillId="9" borderId="1" xfId="0" applyNumberFormat="1" applyFont="1" applyFill="1" applyBorder="1" applyAlignment="1">
      <x:alignment horizontal="center" vertical="center" wrapText="1"/>
    </x:xf>
    <x:xf numFmtId="0" fontId="7" fillId="0" borderId="1" xfId="0" applyNumberFormat="1" applyFont="1" applyFill="1" applyBorder="1" applyAlignment="1">
      <x:alignment horizontal="center" vertical="center" wrapText="1"/>
    </x:xf>
    <x:xf numFmtId="0" fontId="7" fillId="0" borderId="1" xfId="0" applyNumberFormat="1" applyFont="1" applyFill="1" applyBorder="1" applyAlignment="1">
      <x:alignment horizontal="left" vertic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18" fillId="11" borderId="0" xfId="0" applyNumberFormat="1" applyFont="1" applyFill="1" applyBorder="1" applyAlignment="1">
      <x:alignment horizontal="center" vertical="center"/>
    </x:xf>
    <x:xf numFmtId="0" fontId="20" fillId="13" borderId="0" xfId="0" applyNumberFormat="1" applyFont="1" applyFill="1" applyBorder="1" applyAlignment="1">
      <x:alignment horizontal="center" vertical="center"/>
    </x:xf>
    <x:xf numFmtId="0" fontId="3" fillId="14" borderId="0" xfId="0" applyNumberFormat="1" applyFont="1" applyFill="1" applyBorder="1" applyAlignment="1">
      <x:alignment horizontal="center" vertical="center" wrapText="1"/>
    </x:xf>
    <x:xf numFmtId="0" fontId="21" fillId="15" borderId="2" xfId="0" applyNumberFormat="1" applyFont="1" applyFill="1" applyBorder="1" applyAlignment="1">
      <x:alignment horizontal="center" vertical="center"/>
    </x:xf>
    <x:xf numFmtId="0" fontId="21" fillId="15" borderId="2" xfId="0" applyNumberFormat="1" applyFont="1" applyFill="1" applyBorder="1" applyAlignment="1">
      <x:alignment horizontal="left" vertical="center"/>
    </x:xf>
    <x:xf numFmtId="0" fontId="22" fillId="15" borderId="2" xfId="0" applyNumberFormat="1" applyFont="1" applyFill="1" applyBorder="1" applyAlignment="1">
      <x:alignment horizontal="center" vertical="center"/>
    </x:xf>
    <x:xf numFmtId="0" fontId="21" fillId="0" borderId="2" xfId="0" applyNumberFormat="1" applyFont="1" applyFill="1" applyBorder="1" applyAlignment="1">
      <x:alignment horizontal="center" vertical="center"/>
    </x:xf>
    <x:xf numFmtId="0" fontId="21" fillId="0" borderId="2" xfId="0" applyNumberFormat="1" applyFont="1" applyFill="1" applyBorder="1" applyAlignment="1">
      <x:alignment horizontal="left" vertical="center"/>
    </x:xf>
    <x:xf numFmtId="3" fontId="20" fillId="0" borderId="2" xfId="0" applyNumberFormat="1" applyFont="1" applyFill="1" applyBorder="1" applyAlignment="1">
      <x:alignment horizontal="center" vertical="center"/>
    </x:xf>
    <x:xf numFmtId="3" fontId="21" fillId="0" borderId="2" xfId="0" applyNumberFormat="1" applyFont="1" applyFill="1" applyBorder="1" applyAlignment="1">
      <x:alignment horizontal="center" vertical="center"/>
    </x:xf>
    <x:xf numFmtId="0" fontId="22" fillId="0" borderId="2" xfId="0" applyNumberFormat="1" applyFont="1" applyFill="1" applyBorder="1" applyAlignment="1">
      <x:alignment horizontal="center" vertical="center"/>
    </x:xf>
    <x:xf numFmtId="0" fontId="20" fillId="16" borderId="3" xfId="0" applyNumberFormat="1" applyFont="1" applyFill="1" applyBorder="1"/>
    <x:xf numFmtId="0" fontId="20" fillId="16" borderId="3" xfId="0" applyNumberFormat="1" applyFont="1" applyFill="1" applyBorder="1" applyAlignment="1">
      <x:alignment horizontal="center" vertical="center"/>
    </x:xf>
    <x:xf numFmtId="176" fontId="0" fillId="0" borderId="0" xfId="0" applyNumberFormat="1" applyFont="1" applyFill="1" applyBorder="1"/>
    <x:xf numFmtId="0" fontId="0" fillId="0" borderId="5" xfId="0" applyNumberFormat="1" applyFont="1" applyFill="1" applyBorder="1" applyAlignment="1">
      <x:alignment horizontal="center" vertical="center"/>
    </x:xf>
    <x:xf numFmtId="0" fontId="24" fillId="18" borderId="5" xfId="0" applyNumberFormat="1" applyFont="1" applyFill="1" applyBorder="1" applyAlignment="1">
      <x:alignment horizontal="center" vertical="center" wrapText="1"/>
    </x:xf>
    <x:xf numFmtId="0" fontId="7" fillId="0" borderId="5" xfId="0" applyNumberFormat="1" applyFont="1" applyFill="1" applyBorder="1" applyAlignment="1">
      <x:alignment horizontal="center" vertical="center"/>
    </x:xf>
    <x:xf numFmtId="0" fontId="21" fillId="0" borderId="5" xfId="0" applyNumberFormat="1" applyFont="1" applyFill="1" applyBorder="1" applyAlignment="1">
      <x:alignment horizontal="center" vertical="center"/>
    </x:xf>
    <x:xf numFmtId="0" fontId="7" fillId="0" borderId="5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horizontal="center"/>
    </x:xf>
    <x:xf numFmtId="0" fontId="0" fillId="19" borderId="5" xfId="0" applyNumberFormat="1" applyFont="1" applyFill="1" applyBorder="1" applyAlignment="1">
      <x:alignment horizontal="center" vertical="center"/>
    </x:xf>
    <x:xf numFmtId="0" fontId="32" fillId="25" borderId="5" xfId="0" applyNumberFormat="1" applyFont="1" applyFill="1" applyBorder="1" applyAlignment="1">
      <x:alignment horizontal="center" vertical="center" wrapText="1"/>
    </x:xf>
    <x:xf numFmtId="0" fontId="30" fillId="23" borderId="5" xfId="0" applyNumberFormat="1" applyFont="1" applyFill="1" applyBorder="1" applyAlignment="1">
      <x:alignment horizontal="center" vertical="center"/>
    </x:xf>
    <x:xf numFmtId="0" fontId="30" fillId="0" borderId="5" xfId="0" applyNumberFormat="1" applyFont="1" applyFill="1" applyBorder="1" applyAlignment="1">
      <x:alignment horizontal="center" vertical="center"/>
    </x:xf>
    <x:xf numFmtId="0" fontId="35" fillId="25" borderId="5" xfId="0" applyNumberFormat="1" applyFont="1" applyFill="1" applyBorder="1" applyAlignment="1">
      <x:alignment horizontal="center" vertical="center" wrapText="1"/>
    </x:xf>
    <x:xf numFmtId="1" fontId="35" fillId="25" borderId="5" xfId="0" applyNumberFormat="1" applyFont="1" applyFill="1" applyBorder="1" applyAlignment="1">
      <x:alignment horizontal="center" vertical="center" wrapText="1"/>
    </x:xf>
    <x:xf numFmtId="1" fontId="32" fillId="25" borderId="5" xfId="0" applyNumberFormat="1" applyFont="1" applyFill="1" applyBorder="1" applyAlignment="1">
      <x:alignment horizontal="center" vertical="center" wrapText="1"/>
    </x:xf>
    <x:xf numFmtId="0" fontId="26" fillId="20" borderId="5" xfId="0" applyNumberFormat="1" applyFont="1" applyFill="1" applyBorder="1" applyAlignment="1">
      <x:alignment horizontal="center" vertical="center"/>
    </x:xf>
    <x:xf numFmtId="0" fontId="39" fillId="25" borderId="5" xfId="0" applyNumberFormat="1" applyFont="1" applyFill="1" applyBorder="1" applyAlignment="1">
      <x:alignment horizontal="center" vertical="center" wrapText="1"/>
    </x:xf>
    <x:xf numFmtId="0" fontId="4" fillId="18" borderId="5" xfId="0" applyNumberFormat="1" applyFont="1" applyFill="1" applyBorder="1" applyAlignment="1">
      <x:alignment horizontal="center" vertical="center" wrapText="1"/>
    </x:xf>
    <x:xf numFmtId="0" fontId="18" fillId="18" borderId="5" xfId="0" applyNumberFormat="1" applyFont="1" applyFill="1" applyBorder="1" applyAlignment="1">
      <x:alignment horizontal="center" vertical="center" wrapText="1"/>
    </x:xf>
    <x:xf numFmtId="0" fontId="3" fillId="18" borderId="5" xfId="0" applyNumberFormat="1" applyFont="1" applyFill="1" applyBorder="1" applyAlignment="1">
      <x:alignment horizontal="center" vertical="center" wrapText="1"/>
    </x:xf>
    <x:xf numFmtId="0" fontId="37" fillId="25" borderId="5" xfId="0" applyNumberFormat="1" applyFont="1" applyFill="1" applyBorder="1" applyAlignment="1">
      <x:alignment horizontal="center" vertical="center" wrapText="1"/>
    </x:xf>
    <x:xf numFmtId="0" fontId="0" fillId="20" borderId="5" xfId="0" applyNumberFormat="1" applyFont="1" applyFill="1" applyBorder="1" applyAlignment="1">
      <x:alignment horizontal="center" vertical="center"/>
    </x:xf>
    <x:xf numFmtId="0" fontId="39" fillId="25" borderId="5" xfId="0" applyNumberFormat="1" applyFont="1" applyFill="1" applyBorder="1" applyAlignment="1">
      <x:alignment horizontal="center" vertical="center"/>
    </x:xf>
    <x:xf numFmtId="0" fontId="32" fillId="25" borderId="5" xfId="0" applyNumberFormat="1" applyFont="1" applyFill="1" applyBorder="1" applyAlignment="1">
      <x:alignment horizontal="center" vertical="center"/>
    </x:xf>
    <x:xf numFmtId="0" fontId="44" fillId="18" borderId="5" xfId="0" applyNumberFormat="1" applyFont="1" applyFill="1" applyBorder="1" applyAlignment="1">
      <x:alignment horizontal="center" vertical="center" wrapText="1"/>
    </x:xf>
    <x:xf numFmtId="0" fontId="31" fillId="22" borderId="5" xfId="0" applyNumberFormat="1" applyFont="1" applyFill="1" applyBorder="1" applyAlignment="1">
      <x:alignment horizontal="center" vertical="center"/>
    </x:xf>
    <x:xf numFmtId="0" fontId="27" fillId="21" borderId="5" xfId="0" applyNumberFormat="1" applyFont="1" applyFill="1" applyBorder="1" applyAlignment="1">
      <x:alignment horizontal="center" vertical="center"/>
    </x:xf>
    <x:xf numFmtId="0" fontId="28" fillId="0" borderId="5" xfId="0" applyNumberFormat="1" applyFont="1" applyFill="1" applyBorder="1" applyAlignment="1">
      <x:alignment horizontal="center"/>
    </x:xf>
    <x:xf numFmtId="0" fontId="38" fillId="25" borderId="5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/>
    <x:xf numFmtId="0" fontId="25" fillId="20" borderId="5" xfId="0" applyNumberFormat="1" applyFont="1" applyFill="1" applyBorder="1" applyAlignment="1">
      <x:alignment horizontal="center" vertical="center"/>
    </x:xf>
    <x:xf numFmtId="0" fontId="24" fillId="29" borderId="5" xfId="0" applyNumberFormat="1" applyFont="1" applyFill="1" applyBorder="1" applyAlignment="1">
      <x:alignment horizontal="center" vertical="center"/>
    </x:xf>
    <x:xf numFmtId="0" fontId="25" fillId="19" borderId="5" xfId="0" applyNumberFormat="1" applyFont="1" applyFill="1" applyBorder="1" applyAlignment="1">
      <x:alignment horizontal="center" vertical="center"/>
    </x:xf>
    <x:xf numFmtId="0" fontId="29" fillId="19" borderId="5" xfId="0" applyNumberFormat="1" applyFont="1" applyFill="1" applyBorder="1" applyAlignment="1">
      <x:alignment horizontal="center" vertical="center" wrapText="1"/>
    </x:xf>
    <x:xf numFmtId="0" fontId="4" fillId="2" borderId="5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 applyAlignment="1">
      <x:alignment horizontal="center" vertical="center" wrapText="1"/>
    </x:xf>
    <x:xf numFmtId="0" fontId="4" fillId="4" borderId="5" xfId="0" applyNumberFormat="1" applyFont="1" applyFill="1" applyBorder="1" applyAlignment="1">
      <x:alignment horizontal="center" vertical="center" wrapText="1"/>
    </x:xf>
    <x:xf numFmtId="0" fontId="4" fillId="5" borderId="5" xfId="0" applyNumberFormat="1" applyFont="1" applyFill="1" applyBorder="1" applyAlignment="1">
      <x:alignment horizontal="center" vertical="center" wrapText="1"/>
    </x:xf>
    <x:xf numFmtId="0" fontId="4" fillId="6" borderId="5" xfId="0" applyNumberFormat="1" applyFont="1" applyFill="1" applyBorder="1" applyAlignment="1">
      <x:alignment horizontal="center" vertical="center" wrapText="1"/>
    </x:xf>
    <x:xf numFmtId="0" fontId="4" fillId="7" borderId="5" xfId="0" applyNumberFormat="1" applyFont="1" applyFill="1" applyBorder="1" applyAlignment="1">
      <x:alignment horizontal="center" vertical="center" wrapText="1"/>
    </x:xf>
    <x:xf numFmtId="0" fontId="4" fillId="8" borderId="5" xfId="0" applyNumberFormat="1" applyFont="1" applyFill="1" applyBorder="1" applyAlignment="1">
      <x:alignment horizontal="center" vertical="center" wrapText="1"/>
    </x:xf>
    <x:xf numFmtId="0" fontId="10" fillId="0" borderId="5" xfId="0" applyNumberFormat="1" applyFont="1" applyFill="1" applyBorder="1" applyAlignment="1">
      <x:alignment horizontal="center" vertical="center" wrapText="1"/>
    </x:xf>
    <x:xf numFmtId="0" fontId="5" fillId="10" borderId="5" xfId="0" applyNumberFormat="1" applyFont="1" applyFill="1" applyBorder="1" applyAlignment="1">
      <x:alignment horizontal="center" vertical="center" wrapText="1"/>
    </x:xf>
    <x:xf numFmtId="0" fontId="8" fillId="10" borderId="5" xfId="0" applyNumberFormat="1" applyFont="1" applyFill="1" applyBorder="1" applyAlignment="1">
      <x:alignment horizontal="center" vertical="center" wrapText="1"/>
    </x:xf>
    <x:xf numFmtId="0" fontId="8" fillId="0" borderId="5" xfId="0" applyNumberFormat="1" applyFont="1" applyFill="1" applyBorder="1" applyAlignment="1">
      <x:alignment horizontal="center" vertical="center" wrapText="1"/>
    </x:xf>
    <x:xf numFmtId="0" fontId="11" fillId="0" borderId="5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vertical="center"/>
    </x:xf>
    <x:xf numFmtId="0" fontId="34" fillId="28" borderId="5" xfId="0" applyNumberFormat="1" applyFont="1" applyFill="1" applyBorder="1" applyAlignment="1">
      <x:alignment horizontal="center" vertical="center" wrapText="1"/>
    </x:xf>
    <x:xf numFmtId="0" fontId="41" fillId="28" borderId="5" xfId="0" applyNumberFormat="1" applyFont="1" applyFill="1" applyBorder="1" applyAlignment="1">
      <x:alignment horizontal="center" vertical="center" wrapText="1"/>
    </x:xf>
    <x:xf numFmtId="0" fontId="2" fillId="25" borderId="5" xfId="0" applyNumberFormat="1" applyFont="1" applyFill="1" applyBorder="1" applyAlignment="1">
      <x:alignment horizontal="center" vertical="center" wrapText="1"/>
    </x:xf>
    <x:xf numFmtId="0" fontId="43" fillId="25" borderId="5" xfId="0" applyNumberFormat="1" applyFont="1" applyFill="1" applyBorder="1" applyAlignment="1">
      <x:alignment horizontal="center" vertical="center" wrapText="1"/>
    </x:xf>
    <x:xf numFmtId="0" fontId="45" fillId="10" borderId="5" xfId="0" applyNumberFormat="1" applyFont="1" applyFill="1" applyBorder="1" applyAlignment="1">
      <x:alignment horizontal="center" vertical="center"/>
    </x:xf>
    <x:xf numFmtId="0" fontId="6" fillId="10" borderId="5" xfId="0" applyNumberFormat="1" applyFont="1" applyFill="1" applyBorder="1" applyAlignment="1">
      <x:alignment horizontal="center" vertical="center" wrapText="1"/>
    </x:xf>
    <x:xf numFmtId="0" fontId="48" fillId="10" borderId="5" xfId="0" applyNumberFormat="1" applyFont="1" applyFill="1" applyBorder="1" applyAlignment="1">
      <x:alignment horizontal="center" vertical="center" wrapText="1"/>
    </x:xf>
    <x:xf numFmtId="0" fontId="49" fillId="10" borderId="5" xfId="0" applyNumberFormat="1" applyFont="1" applyFill="1" applyBorder="1" applyAlignment="1">
      <x:alignment horizontal="center" vertical="center"/>
    </x:xf>
    <x:xf numFmtId="0" fontId="50" fillId="10" borderId="5" xfId="0" applyNumberFormat="1" applyFont="1" applyFill="1" applyBorder="1" applyAlignment="1">
      <x:alignment horizontal="center" vertical="center"/>
    </x:xf>
    <x:xf numFmtId="0" fontId="45" fillId="10" borderId="0" xfId="0" applyNumberFormat="1" applyFont="1" applyFill="1" applyBorder="1" applyAlignment="1">
      <x:alignment vertical="center"/>
    </x:xf>
    <x:xf numFmtId="0" fontId="0" fillId="25" borderId="5" xfId="0" applyNumberFormat="1" applyFont="1" applyFill="1" applyBorder="1" applyAlignment="1">
      <x:alignment horizontal="center" vertical="center"/>
    </x:xf>
    <x:xf numFmtId="0" fontId="48" fillId="9" borderId="5" xfId="0" applyNumberFormat="1" applyFont="1" applyFill="1" applyBorder="1" applyAlignment="1">
      <x:alignment horizontal="center" vertical="center" wrapText="1"/>
    </x:xf>
    <x:xf numFmtId="0" fontId="10" fillId="25" borderId="5" xfId="0" applyNumberFormat="1" applyFont="1" applyFill="1" applyBorder="1" applyAlignment="1">
      <x:alignment horizontal="center" vertical="center" wrapText="1"/>
    </x:xf>
    <x:xf numFmtId="0" fontId="51" fillId="9" borderId="5" xfId="0" applyNumberFormat="1" applyFont="1" applyFill="1" applyBorder="1" applyAlignment="1">
      <x:alignment horizontal="center" vertical="center" wrapText="1"/>
    </x:xf>
    <x:xf numFmtId="0" fontId="52" fillId="9" borderId="5" xfId="0" applyNumberFormat="1" applyFont="1" applyFill="1" applyBorder="1" applyAlignment="1">
      <x:alignment horizontal="center" vertical="center" wrapText="1"/>
    </x:xf>
    <x:xf numFmtId="0" fontId="49" fillId="9" borderId="5" xfId="0" applyNumberFormat="1" applyFont="1" applyFill="1" applyBorder="1" applyAlignment="1">
      <x:alignment horizontal="center" vertical="center"/>
    </x:xf>
    <x:xf numFmtId="0" fontId="50" fillId="9" borderId="5" xfId="0" applyNumberFormat="1" applyFont="1" applyFill="1" applyBorder="1" applyAlignment="1">
      <x:alignment horizontal="center" vertical="center"/>
    </x:xf>
    <x:xf numFmtId="0" fontId="33" fillId="25" borderId="5" xfId="0" applyNumberFormat="1" applyFont="1" applyFill="1" applyBorder="1" applyAlignment="1">
      <x:alignment horizontal="center" vertical="center"/>
    </x:xf>
    <x:xf numFmtId="0" fontId="45" fillId="9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 applyAlignment="1">
      <x:alignment vertical="center"/>
    </x:xf>
    <x:xf numFmtId="0" fontId="32" fillId="10" borderId="5" xfId="0" applyNumberFormat="1" applyFont="1" applyFill="1" applyBorder="1" applyAlignment="1">
      <x:alignment horizontal="center" vertical="center" wrapText="1"/>
    </x:xf>
    <x:xf numFmtId="0" fontId="7" fillId="25" borderId="5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 applyAlignment="1">
      <x:alignment horizontal="center" vertical="center"/>
    </x:xf>
    <x:xf numFmtId="1" fontId="0" fillId="9" borderId="0" xfId="0" applyNumberFormat="1" applyFont="1" applyFill="1" applyBorder="1" applyAlignment="1">
      <x:alignment horizontal="center" vertical="center"/>
    </x:xf>
    <x:xf numFmtId="1" fontId="58" fillId="25" borderId="7" xfId="0" applyNumberFormat="1" applyFont="1" applyFill="1" applyBorder="1" applyAlignment="1">
      <x:alignment horizontal="center" vertical="center" wrapText="1"/>
    </x:xf>
    <x:xf numFmtId="0" fontId="9" fillId="2" borderId="0" xfId="0" applyNumberFormat="1" applyFont="1" applyFill="1" applyBorder="1" applyAlignment="1">
      <x:alignment horizontal="center" vertical="center" wrapText="1"/>
    </x:xf>
    <x:xf numFmtId="0" fontId="13" fillId="2" borderId="5" xfId="0" applyNumberFormat="1" applyFont="1" applyFill="1" applyBorder="1" applyAlignment="1">
      <x:alignment horizontal="center" vertical="center" wrapText="1"/>
    </x:xf>
    <x:xf numFmtId="0" fontId="9" fillId="2" borderId="6" xfId="0" applyNumberFormat="1" applyFont="1" applyFill="1" applyBorder="1" applyAlignment="1">
      <x:alignment horizontal="center" vertical="center" wrapText="1"/>
    </x:xf>
    <x:xf numFmtId="0" fontId="0" fillId="0" borderId="6" xfId="0" applyNumberFormat="1" applyFont="1" applyFill="1" applyBorder="1"/>
    <x:xf numFmtId="0" fontId="15" fillId="0" borderId="0" xfId="0" applyNumberFormat="1" applyFont="1" applyFill="1" applyBorder="1" applyAlignment="1">
      <x:alignment horizontal="center" vertical="center"/>
    </x:xf>
    <x:xf numFmtId="0" fontId="17" fillId="0" borderId="0" xfId="0" applyNumberFormat="1" applyFont="1" applyFill="1" applyBorder="1"/>
    <x:xf numFmtId="0" fontId="16" fillId="0" borderId="0" xfId="0" applyNumberFormat="1" applyFont="1" applyFill="1" applyBorder="1" applyAlignment="1">
      <x:alignment horizontal="left" vertical="center"/>
    </x:xf>
    <x:xf numFmtId="0" fontId="23" fillId="17" borderId="5" xfId="0" applyNumberFormat="1" applyFont="1" applyFill="1" applyBorder="1" applyAlignment="1">
      <x:alignment horizontal="center" vertical="center"/>
    </x:xf>
    <x:xf numFmtId="200" fontId="38" fillId="25" borderId="5" xfId="0" applyNumberFormat="1" applyFont="1" applyFill="1" applyBorder="1" applyAlignment="1">
      <x:alignment horizontal="center" vertical="center" wrapText="1"/>
    </x:xf>
    <x:xf numFmtId="176" fontId="2" fillId="25" borderId="5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5" fillId="9" borderId="5" xfId="0" applyNumberFormat="1" applyFont="1" applyFill="1" applyBorder="1" applyAlignment="1">
      <x:alignment horizontal="center" vertical="center" wrapText="1"/>
    </x:xf>
    <x:xf numFmtId="200" fontId="7" fillId="25" borderId="5" xfId="0" applyNumberFormat="1" applyFont="1" applyFill="1" applyBorder="1" applyAlignment="1">
      <x:alignment horizontal="center" vertical="center" wrapText="1"/>
    </x:xf>
    <x:xf numFmtId="200" fontId="6" fillId="25" borderId="5" xfId="0" applyNumberFormat="1" applyFont="1" applyFill="1" applyBorder="1" applyAlignment="1">
      <x:alignment horizontal="center" vertical="center" wrapText="1"/>
    </x:xf>
    <x:xf numFmtId="200" fontId="0" fillId="0" borderId="5" xfId="0" applyNumberFormat="1" applyFont="1" applyFill="1" applyBorder="1" applyAlignment="1">
      <x:alignment horizontal="center" vertical="center"/>
    </x:xf>
    <x:xf numFmtId="200" fontId="45" fillId="0" borderId="5" xfId="0" applyNumberFormat="1" applyFont="1" applyFill="1" applyBorder="1" applyAlignment="1">
      <x:alignment horizontal="center" vertical="center"/>
    </x:xf>
    <x:xf numFmtId="200" fontId="7" fillId="0" borderId="5" xfId="0" applyNumberFormat="1" applyFont="1" applyFill="1" applyBorder="1" applyAlignment="1">
      <x:alignment horizontal="center" vertical="center" wrapText="1"/>
    </x:xf>
    <x:xf numFmtId="200" fontId="6" fillId="0" borderId="5" xfId="0" applyNumberFormat="1" applyFont="1" applyFill="1" applyBorder="1" applyAlignment="1">
      <x:alignment horizontal="center" vertical="center" wrapText="1"/>
    </x:xf>
    <x:xf numFmtId="200" fontId="40" fillId="28" borderId="5" xfId="0" applyNumberFormat="1" applyFont="1" applyFill="1" applyBorder="1" applyAlignment="1">
      <x:alignment horizontal="center" vertical="center" wrapText="1"/>
    </x:xf>
    <x:xf numFmtId="200" fontId="5" fillId="10" borderId="5" xfId="0" applyNumberFormat="1" applyFont="1" applyFill="1" applyBorder="1" applyAlignment="1">
      <x:alignment horizontal="center" vertical="center" wrapText="1"/>
    </x:xf>
    <x:xf numFmtId="200" fontId="46" fillId="10" borderId="5" xfId="0" applyNumberFormat="1" applyFont="1" applyFill="1" applyBorder="1" applyAlignment="1">
      <x:alignment horizontal="center" vertical="center" wrapText="1"/>
    </x:xf>
    <x:xf numFmtId="200" fontId="47" fillId="10" borderId="5" xfId="0" applyNumberFormat="1" applyFont="1" applyFill="1" applyBorder="1" applyAlignment="1">
      <x:alignment horizontal="center"/>
    </x:xf>
    <x:xf numFmtId="200" fontId="6" fillId="9" borderId="5" xfId="0" applyNumberFormat="1" applyFont="1" applyFill="1" applyBorder="1" applyAlignment="1">
      <x:alignment horizontal="center" vertical="center" wrapText="1"/>
    </x:xf>
    <x:xf numFmtId="200" fontId="0" fillId="10" borderId="0" xfId="0" applyNumberFormat="1" applyFont="1" applyFill="1" applyBorder="1" applyAlignment="1">
      <x:alignment vertical="center"/>
    </x:xf>
    <x:xf numFmtId="200" fontId="48" fillId="9" borderId="5" xfId="0" applyNumberFormat="1" applyFont="1" applyFill="1" applyBorder="1" applyAlignment="1">
      <x:alignment horizontal="center" vertical="center" wrapText="1"/>
    </x:xf>
    <x:xf numFmtId="200" fontId="5" fillId="25" borderId="5" xfId="0" applyNumberFormat="1" applyFont="1" applyFill="1" applyBorder="1" applyAlignment="1">
      <x:alignment horizontal="center" vertical="center" wrapText="1"/>
    </x:xf>
    <x:xf numFmtId="200" fontId="14" fillId="9" borderId="5" xfId="0" applyNumberFormat="1" applyFont="1" applyFill="1" applyBorder="1" applyAlignment="1">
      <x:alignment horizontal="center" vertical="center" wrapText="1"/>
    </x:xf>
    <x:xf numFmtId="200" fontId="2" fillId="0" borderId="5" xfId="0" applyNumberFormat="1" applyFont="1" applyFill="1" applyBorder="1" applyAlignment="1">
      <x:alignment horizontal="center"/>
    </x:xf>
    <x:xf numFmtId="200" fontId="6" fillId="10" borderId="5" xfId="0" applyNumberFormat="1" applyFont="1" applyFill="1" applyBorder="1" applyAlignment="1">
      <x:alignment horizontal="center" vertical="center" wrapText="1"/>
    </x:xf>
    <x:xf numFmtId="200" fontId="58" fillId="25" borderId="7" xfId="0" applyNumberFormat="1" applyFont="1" applyFill="1" applyBorder="1" applyAlignment="1">
      <x:alignment horizontal="center" vertical="center" wrapText="1"/>
    </x:xf>
    <x:xf numFmtId="200" fontId="0" fillId="0" borderId="5" xfId="0" applyNumberFormat="1" applyFont="1" applyFill="1" applyBorder="1" applyAlignment="1">
      <x:alignment vertical="center"/>
    </x:xf>
    <x:xf numFmtId="200" fontId="32" fillId="25" borderId="5" xfId="0" applyNumberFormat="1" applyFont="1" applyFill="1" applyBorder="1" applyAlignment="1">
      <x:alignment horizontal="center" vertical="center"/>
    </x:xf>
    <x:xf numFmtId="200" fontId="2" fillId="25" borderId="5" xfId="0" applyNumberFormat="1" applyFont="1" applyFill="1" applyBorder="1" applyAlignment="1">
      <x:alignment horizontal="center" vertical="center" wrapText="1"/>
    </x:xf>
    <x:xf numFmtId="200" fontId="49" fillId="10" borderId="5" xfId="0" applyNumberFormat="1" applyFont="1" applyFill="1" applyBorder="1" applyAlignment="1">
      <x:alignment horizontal="center" vertical="center"/>
    </x:xf>
    <x:xf numFmtId="200" fontId="49" fillId="9" borderId="5" xfId="0" applyNumberFormat="1" applyFont="1" applyFill="1" applyBorder="1" applyAlignment="1">
      <x:alignment horizontal="center" vertical="center"/>
    </x:xf>
    <x:xf numFmtId="200" fontId="49" fillId="25" borderId="5" xfId="0" applyNumberFormat="1" applyFont="1" applyFill="1" applyBorder="1" applyAlignment="1">
      <x:alignment horizontal="center" vertical="center"/>
    </x:xf>
    <x:xf numFmtId="200" fontId="45" fillId="9" borderId="0" xfId="0" applyNumberFormat="1" applyFont="1" applyFill="1" applyBorder="1" applyAlignment="1">
      <x:alignment vertical="center"/>
    </x:xf>
    <x:xf numFmtId="200" fontId="45" fillId="25" borderId="0" xfId="0" applyNumberFormat="1" applyFont="1" applyFill="1" applyBorder="1" applyAlignment="1">
      <x:alignment vertical="center"/>
    </x:xf>
    <x:xf numFmtId="200" fontId="45" fillId="0" borderId="0" xfId="0" applyNumberFormat="1" applyFont="1" applyFill="1" applyBorder="1" applyAlignment="1">
      <x:alignment vertical="center"/>
    </x:xf>
    <x:xf numFmtId="176" fontId="5" fillId="10" borderId="5" xfId="0" applyNumberFormat="1" applyFont="1" applyFill="1" applyBorder="1" applyAlignment="1">
      <x:alignment horizontal="center" vertical="center" wrapText="1"/>
    </x:xf>
    <x:xf numFmtId="176" fontId="45" fillId="10" borderId="0" xfId="0" applyNumberFormat="1" applyFont="1" applyFill="1" applyBorder="1" applyAlignment="1">
      <x:alignment vertical="center"/>
    </x:xf>
    <x:xf numFmtId="200" fontId="6" fillId="0" borderId="1" xfId="0" applyNumberFormat="1" applyFont="1" applyFill="1" applyBorder="1" applyAlignment="1">
      <x:alignment horizontal="center" vertical="center" wrapText="1"/>
    </x:xf>
  </x:cellXfs>
  <x:cellStyles count="4">
    <x:cellStyle name="표준" xfId="0"/>
    <x:cellStyle name="표준 2 7" xfId="1"/>
    <x:cellStyle name="표준 3" xfId="2"/>
    <x:cellStyle name="표준 5" xfId="3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040d9984d04c79" /><Relationship Type="http://schemas.openxmlformats.org/officeDocument/2006/relationships/theme" Target="/xl/theme/theme1.xml" Id="R100112a424714e5a" /><Relationship Type="http://schemas.openxmlformats.org/officeDocument/2006/relationships/sharedStrings" Target="/xl/sharedStrings.xml" Id="R6b4842a48b44440c" /><Relationship Type="http://schemas.openxmlformats.org/officeDocument/2006/relationships/worksheet" Target="/xl/worksheets/sheet1.xml" Id="R3e1053f457d943fa" /><Relationship Type="http://schemas.openxmlformats.org/officeDocument/2006/relationships/worksheet" Target="/xl/worksheets/sheet2.xml" Id="R3df2097710f24f3f" /><Relationship Type="http://schemas.openxmlformats.org/officeDocument/2006/relationships/worksheet" Target="/xl/worksheets/sheet3.xml" Id="R0e3bd4c6d0c840d5" /><Relationship Type="http://schemas.openxmlformats.org/officeDocument/2006/relationships/worksheet" Target="/xl/worksheets/sheet4.xml" Id="Rab0994875a9b4b60" /><Relationship Type="http://schemas.openxmlformats.org/officeDocument/2006/relationships/worksheet" Target="/xl/worksheets/sheet5.xml" Id="Rc725e3da583e4bda" /><Relationship Type="http://schemas.openxmlformats.org/officeDocument/2006/relationships/worksheet" Target="/xl/worksheets/sheet6.xml" Id="R3c5b08d230cb40d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9e9f69380ed4c77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lineChart>
        <c:grouping val="standard"/>
        <c:varyColors val="0"/>
        <c:ser>
          <c:idx val="0"/>
          <c:order val="0"/>
          <c:tx>
            <c:v>한노</c:v>
          </c:tx>
          <c:marker>
            <c:symbol val="none"/>
          </c:marker>
          <c:cat>
            <c:strRef>
              <c:f>'6.월별 소속별 채용비율'!$A$5:$A$13</c:f>
              <c:strCache>
                <c:ptCount val="0"/>
              </c:strCache>
            </c:strRef>
          </c:cat>
          <c:val>
            <c:numRef>
              <c:f>'6.월별 소속별 채용비율'!$J$5:$J$13</c:f>
              <c:numCache>
                <c:formatCode>0.0%</c:formatCode>
                <c:ptCount val="0"/>
              </c:numCache>
            </c:numRef>
          </c:val>
          <c:smooth val="0"/>
        </c:ser>
        <c:ser>
          <c:idx val="1"/>
          <c:order val="1"/>
          <c:tx>
            <c:v>민노</c:v>
          </c:tx>
          <c:marker>
            <c:symbol val="none"/>
          </c:marker>
          <c:cat>
            <c:strRef>
              <c:f>'6.월별 소속별 채용비율'!$A$5:$A$13</c:f>
              <c:strCache>
                <c:ptCount val="0"/>
              </c:strCache>
            </c:strRef>
          </c:cat>
          <c:val>
            <c:numRef>
              <c:f>'6.월별 소속별 채용비율'!$K$5:$K$13</c:f>
              <c:numCache>
                <c:formatCode>0.0%</c:formatCode>
                <c:ptCount val="0"/>
              </c:numCache>
            </c:numRef>
          </c:val>
          <c:smooth val="0"/>
        </c:ser>
        <c:ser>
          <c:idx val="2"/>
          <c:order val="2"/>
          <c:tx>
            <c:v>기타노조(미분리)</c:v>
          </c:tx>
          <c:marker>
            <c:symbol val="none"/>
          </c:marker>
          <c:cat>
            <c:strRef>
              <c:f>'6.월별 소속별 채용비율'!$A$5:$A$13</c:f>
              <c:strCache>
                <c:ptCount val="0"/>
              </c:strCache>
            </c:strRef>
          </c:cat>
          <c:val>
            <c:numRef>
              <c:f>'6.월별 소속별 채용비율'!$N$5:$N$13</c:f>
              <c:numCache>
                <c:formatCode>0.0%</c:formatCode>
                <c:ptCount val="0"/>
              </c:numCache>
            </c:numRef>
          </c:val>
          <c:smooth val="0"/>
        </c:ser>
        <c:ser>
          <c:idx val="3"/>
          <c:order val="3"/>
          <c:tx>
            <c:v>비노조(직원)</c:v>
          </c:tx>
          <c:marker>
            <c:symbol val="none"/>
          </c:marker>
          <c:cat>
            <c:strRef>
              <c:f>'6.월별 소속별 채용비율'!$A$5:$A$13</c:f>
              <c:strCache>
                <c:ptCount val="0"/>
              </c:strCache>
            </c:strRef>
          </c:cat>
          <c:val>
            <c:numRef>
              <c:f>'6.월별 소속별 채용비율'!$O$5:$O$13</c:f>
              <c:numCache>
                <c:formatCode>0.0%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19</xdr:row>
      <xdr:rowOff>0</xdr:rowOff>
    </xdr:from>
    <xdr:to>
      <xdr:col>15</xdr:col>
      <xdr:colOff>0</xdr:colOff>
      <xdr:row>38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9e9f69380ed4c7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a4bed8e122bc4f5c" /></Relationships>
</file>

<file path=xl/worksheets/sheet1.xml><?xml version="1.0" encoding="utf-8"?>
<x:worksheet xmlns:x="http://schemas.openxmlformats.org/spreadsheetml/2006/main">
  <x:sheetFormatPr defaultRowHeight="16.5"/>
  <x:sheetData>
    <x:row r="1">
      <x:c r="A1" s="183" t="s">
        <x:v>0</x:v>
      </x:c>
      <x:c r="B1" s="184"/>
      <x:c r="C1" s="184"/>
      <x:c r="D1" s="184"/>
      <x:c r="E1" s="184"/>
      <x:c r="F1" s="184"/>
      <x:c r="G1" s="184"/>
      <x:c r="H1" s="184"/>
    </x:row>
    <x:row r="2">
      <x:c r="A2" s="1" t="s">
        <x:v>1</x:v>
      </x:c>
      <x:c r="B2" s="2" t="s">
        <x:v>2</x:v>
      </x:c>
      <x:c r="C2" s="3" t="s">
        <x:v>3</x:v>
      </x:c>
      <x:c r="D2" s="4" t="s">
        <x:v>4</x:v>
      </x:c>
      <x:c r="E2" s="5" t="s">
        <x:v>5</x:v>
      </x:c>
      <x:c r="F2" s="6" t="s">
        <x:v>6</x:v>
      </x:c>
      <x:c r="G2" s="13" t="s">
        <x:v>7</x:v>
      </x:c>
      <x:c r="H2" s="1" t="s">
        <x:v>8</x:v>
      </x:c>
      <x:c r="I2" s="1" t="s">
        <x:v>9</x:v>
      </x:c>
    </x:row>
    <x:row r="3">
      <x:c r="A3" s="8" t="s">
        <x:v>10</x:v>
      </x:c>
      <x:c r="B3" s="567">
        <x:v>72</x:v>
      </x:c>
      <x:c r="C3" s="567" t="n">
        <x:v>106</x:v>
      </x:c>
      <x:c r="D3" s="567" t="n">
        <x:v>9</x:v>
      </x:c>
      <x:c r="E3" s="567">
        <x:v>10</x:v>
      </x:c>
      <x:c r="F3" s="567">
        <x:v>42</x:v>
      </x:c>
      <x:c r="G3" s="567" t="n">
        <x:v>15</x:v>
      </x:c>
      <x:c r="H3" s="567" t="n">
        <x:f>SUM(B3:G3)</x:f>
        <x:v>254</x:v>
      </x:c>
      <x:c r="I3" s="9" t="s">
        <x:v>11</x:v>
      </x:c>
    </x:row>
    <x:row r="4">
      <x:c r="A4" s="10" t="s">
        <x:v>9</x:v>
      </x:c>
      <x:c r="B4" s="32" t="n">
        <x:f>IF($H$3=0,0,B3/$H$3)</x:f>
        <x:v>0.28346456692913385</x:v>
      </x:c>
      <x:c r="C4" s="32" t="n">
        <x:f>IF($H$3=0,0,C3/$H$3)</x:f>
        <x:v>0.41732283464566927</x:v>
      </x:c>
      <x:c r="D4" s="32" t="n">
        <x:f>IF($H$3=0,0,D3/$H$3)</x:f>
        <x:v>0.03543307086614173</x:v>
      </x:c>
      <x:c r="E4" s="32" t="n">
        <x:f>IF($H$3=0,0,E3/$H$3)</x:f>
        <x:v>0.03937007874015748</x:v>
      </x:c>
      <x:c r="F4" s="32" t="n">
        <x:f>IF($H$3=0,0,F3/$H$3)</x:f>
        <x:v>0.16535433070866143</x:v>
      </x:c>
      <x:c r="G4" s="32" t="n">
        <x:f>IF($H$3=0,0,G3/$H$3)</x:f>
        <x:v>0.05905511811023622</x:v>
      </x:c>
    </x:row>
    <x:row r="9" s="14" customFormat="1" ht="21.200000762939453" customHeight="1"/>
    <x:row r="10" s="14" customFormat="1" ht="21.200000762939453" customHeight="1"/>
    <x:row r="11" s="14" customFormat="1" ht="84.4000015258789" customHeight="1"/>
    <x:row r="12" s="14" customFormat="1" ht="21.200000762939453" customHeight="1"/>
    <x:row r="14" s="14" customFormat="1" ht="21.200000762939453" customHeight="1"/>
    <x:row r="15" s="14" customFormat="1" ht="31.700000762939453" customHeight="1"/>
    <x:row r="16" s="14" customFormat="1" ht="31.700000762939453" customHeight="1"/>
    <x:row r="17" s="14" customFormat="1" ht="21.200000762939453" customHeight="1"/>
    <x:row r="18" s="14" customFormat="1" ht="31.700000762939453" customHeight="1"/>
    <x:row r="19" s="14" customFormat="1" ht="31.700000762939453" customHeight="1"/>
    <x:row r="20" s="14" customFormat="1" ht="31.700000762939453" customHeight="1"/>
    <x:row r="21" s="14" customFormat="1" ht="21.200000762939453" customHeight="1"/>
    <x:row r="22" s="14" customFormat="1" ht="21.200000762939453" customHeight="1"/>
    <x:row r="23" s="14" customFormat="1" ht="21.200000762939453" customHeight="1"/>
    <x:row r="24" s="14" customFormat="1" ht="21.200000762939453" customHeight="1"/>
    <x:row r="25" s="14" customFormat="1" ht="21.200000762939453" customHeight="1"/>
    <x:row r="26" s="14" customFormat="1" ht="31.700000762939453" customHeight="1"/>
    <x:row r="27" s="14" customFormat="1" ht="63.400001525878906" customHeight="1"/>
    <x:row r="28" s="14" customFormat="1" ht="21.200000762939453" customHeight="1"/>
    <x:row r="29">
      <x:c r="M29" s="33"/>
    </x:row>
    <x:row r="30" s="14" customFormat="1" ht="31.700000762939453" customHeight="1"/>
    <x:row r="31" s="14" customFormat="1" ht="52.900001525878906" customHeight="1"/>
    <x:row r="32" s="14" customFormat="1" ht="21.200000762939453" customHeight="1"/>
    <x:row r="34" s="14" customFormat="1" ht="21.200000762939453" customHeight="1"/>
    <x:row r="35" s="14" customFormat="1" ht="21.200000762939453" customHeight="1"/>
    <x:row r="36" s="14" customFormat="1" ht="21.200000762939453" customHeight="1"/>
    <x:row r="37" s="14" customFormat="1" ht="21.200000762939453" customHeight="1"/>
    <x:row r="38" s="14" customFormat="1" ht="21.200000762939453" customHeight="1"/>
    <x:row r="39" s="14" customFormat="1" ht="42.400001525878906" customHeight="1"/>
    <x:row r="40" s="14" customFormat="1" ht="42.400001525878906" customHeight="1"/>
    <x:row r="41" s="14" customFormat="1" ht="21.200000762939453" customHeight="1"/>
    <x:row r="42" s="14" customFormat="1" ht="21.200000762939453" customHeight="1"/>
    <x:row r="43" s="14" customFormat="1" ht="52.900001525878906" customHeight="1"/>
    <x:row r="44" s="14" customFormat="1" ht="31.700000762939453" customHeight="1"/>
    <x:row r="45" s="14" customFormat="1" ht="42.400001525878906" customHeight="1"/>
    <x:row r="46" s="14" customFormat="1" ht="21.200000762939453" customHeight="1"/>
    <x:row r="47" s="14" customFormat="1" ht="21.200000762939453" customHeight="1"/>
    <x:row r="48" s="14" customFormat="1" ht="21.200000762939453" customHeight="1"/>
    <x:row r="49" s="14" customFormat="1" ht="21.200000762939453" customHeight="1"/>
    <x:row r="50" s="14" customFormat="1" ht="21.200000762939453" customHeight="1"/>
    <x:row r="51" s="14" customFormat="1" ht="21.200000762939453" customHeight="1"/>
    <x:row r="52" s="14" customFormat="1" ht="52.900001525878906" customHeight="1"/>
    <x:row r="53" s="14" customFormat="1" ht="21.200000762939453" customHeight="1"/>
    <x:row r="54" s="14" customFormat="1" ht="52.900001525878906" customHeight="1"/>
    <x:row r="55" s="14" customFormat="1" ht="52.900001525878906" customHeight="1"/>
    <x:row r="56" s="14" customFormat="1" ht="21.200000762939453" customHeight="1"/>
    <x:row r="57" s="14" customFormat="1" ht="21.200000762939453" customHeight="1"/>
    <x:row r="58" s="14" customFormat="1" ht="31.700000762939453" customHeight="1"/>
    <x:row r="59" s="14" customFormat="1" ht="31.700000762939453" customHeight="1"/>
    <x:row r="60" s="14" customFormat="1" ht="42.400001525878906" customHeight="1"/>
    <x:row r="61" s="14" customFormat="1" ht="21.200000762939453" customHeight="1"/>
    <x:row r="62" s="14" customFormat="1" ht="31.700000762939453" customHeight="1"/>
    <x:row r="63" s="14" customFormat="1" ht="31.700000762939453" customHeight="1"/>
    <x:row r="64" s="14" customFormat="1" ht="31.700000762939453" customHeight="1"/>
    <x:row r="65" s="14" customFormat="1" ht="21.200000762939453" customHeight="1"/>
    <x:row r="66" s="14" customFormat="1" ht="42.400001525878906" customHeight="1"/>
    <x:row r="67" s="14" customFormat="1" ht="52.900001525878906" customHeight="1"/>
    <x:row r="68" s="14" customFormat="1" ht="21.200000762939453" customHeight="1"/>
    <x:row r="69" s="14" customFormat="1" ht="21.200000762939453" customHeight="1"/>
    <x:row r="70" s="14" customFormat="1" ht="21.200000762939453" customHeight="1"/>
    <x:row r="71" s="14" customFormat="1" ht="31.700000762939453" customHeight="1"/>
    <x:row r="72" s="14" customFormat="1" ht="21.200000762939453" customHeight="1"/>
    <x:row r="73" s="14" customFormat="1" ht="21.200000762939453" customHeight="1"/>
    <x:row r="74" s="14" customFormat="1" ht="52.900001525878906" customHeight="1"/>
    <x:row r="75" s="14" customFormat="1" ht="21.200000762939453" customHeight="1"/>
    <x:row r="76" s="14" customFormat="1" ht="21.200000762939453" customHeight="1"/>
    <x:row r="82" s="14" customFormat="1" ht="21.200000762939453" customHeight="1"/>
    <x:row r="83" s="14" customFormat="1" ht="21.200000762939453" customHeight="1"/>
    <x:row r="84" s="14" customFormat="1" ht="31.700000762939453" customHeight="1"/>
    <x:row r="85" s="14" customFormat="1" ht="21.200000762939453" customHeight="1"/>
    <x:row r="86" s="14" customFormat="1" ht="21.200000762939453" customHeight="1"/>
    <x:row r="87" s="14" customFormat="1" ht="21.200000762939453" customHeight="1"/>
    <x:row r="88" s="14" customFormat="1" ht="21.200000762939453" customHeight="1"/>
    <x:row r="89" s="14" customFormat="1" ht="21.200000762939453" customHeight="1"/>
    <x:row r="90" s="14" customFormat="1" ht="21.200000762939453" customHeight="1"/>
    <x:row r="91" s="14" customFormat="1" ht="21.200000762939453" customHeight="1"/>
    <x:row r="92" s="14" customFormat="1" ht="21.200000762939453" customHeight="1"/>
    <x:row r="93" s="14" customFormat="1" ht="21.200000762939453" customHeight="1"/>
    <x:row r="94" s="14" customFormat="1" ht="31.700000762939453" customHeight="1"/>
    <x:row r="95" s="14" customFormat="1" ht="21.200000762939453" customHeight="1"/>
    <x:row r="96" s="14" customFormat="1" ht="21.200000762939453" customHeight="1"/>
    <x:row r="97" s="14" customFormat="1" ht="21.200000762939453" customHeight="1"/>
    <x:row r="98" s="14" customFormat="1" ht="21.200000762939453" customHeight="1"/>
    <x:row r="99" s="14" customFormat="1" ht="21.200000762939453" customHeight="1"/>
    <x:row r="100" s="14" customFormat="1" ht="21.200000762939453" customHeight="1"/>
    <x:row r="101" s="14" customFormat="1" ht="21.200000762939453" customHeight="1"/>
    <x:row r="102" s="14" customFormat="1" ht="21.200000762939453" customHeight="1"/>
    <x:row r="103" s="14" customFormat="1" ht="21.200000762939453" customHeight="1"/>
    <x:row r="104" s="14" customFormat="1" ht="31.700000762939453" customHeight="1"/>
    <x:row r="105" s="14" customFormat="1" ht="21.200000762939453" customHeight="1"/>
    <x:row r="106" s="14" customFormat="1" ht="21.200000762939453" customHeight="1"/>
    <x:row r="107" s="14" customFormat="1" ht="21.200000762939453" customHeight="1"/>
    <x:row r="108" s="14" customFormat="1" ht="21.200000762939453" customHeight="1"/>
    <x:row r="109" s="14" customFormat="1" ht="21.200000762939453" customHeight="1"/>
    <x:row r="110" s="14" customFormat="1" ht="21.200000762939453" customHeight="1"/>
    <x:row r="111" s="14" customFormat="1" ht="21.200000762939453" customHeight="1"/>
    <x:row r="112" s="14" customFormat="1" ht="21.200000762939453" customHeight="1"/>
    <x:row r="113" s="14" customFormat="1" ht="21.200000762939453" customHeight="1"/>
    <x:row r="114" s="14" customFormat="1" ht="21.200000762939453" customHeight="1"/>
    <x:row r="115" s="14" customFormat="1" ht="21.200000762939453" customHeight="1"/>
    <x:row r="116" s="14" customFormat="1" ht="21.200000762939453" customHeight="1"/>
    <x:row r="117" s="14" customFormat="1" ht="21.200000762939453" customHeight="1"/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6.5"/>
  <x:cols>
    <x:col min="1" max="1" width="13.61328125" style="14" customWidth="1"/>
    <x:col min="2" max="2" width="57.93359375" style="14" customWidth="1"/>
    <x:col min="3" max="3" width="20.421875" style="14" customWidth="1"/>
    <x:col min="4" max="4" width="12.25390625" customWidth="1"/>
    <x:col min="5" max="6" width="6.3125" style="14" customWidth="1"/>
    <x:col min="7" max="7" width="5.3203125" style="14" customWidth="1"/>
    <x:col min="8" max="9" width="6.3125" style="14" customWidth="1"/>
    <x:col min="10" max="10" width="6.1875" style="14" customWidth="1"/>
    <x:col min="11" max="11" width="7.30078125" style="14" customWidth="1"/>
  </x:cols>
  <x:sheetData>
    <x:row r="1">
      <x:c r="A1" s="185" t="s">
        <x:v>12</x:v>
      </x:c>
      <x:c r="B1" s="186"/>
      <x:c r="C1" s="186"/>
      <x:c r="D1" s="186"/>
      <x:c r="E1" s="186"/>
      <x:c r="F1" s="186"/>
      <x:c r="G1" s="186"/>
      <x:c r="H1" s="186"/>
      <x:c r="I1" s="186"/>
      <x:c r="J1" s="186"/>
      <x:c r="K1" s="186"/>
      <x:c r="L1" s="186"/>
    </x:row>
    <x:row r="2">
      <x:c r="A2" s="75" t="s">
        <x:v>13</x:v>
      </x:c>
      <x:c r="B2" s="75" t="s">
        <x:v>14</x:v>
      </x:c>
      <x:c r="C2" s="75" t="s">
        <x:v>15</x:v>
      </x:c>
      <x:c r="D2" s="75" t="s">
        <x:v>16</x:v>
      </x:c>
      <x:c r="E2" s="76" t="s">
        <x:v>2</x:v>
      </x:c>
      <x:c r="F2" s="77" t="s">
        <x:v>3</x:v>
      </x:c>
      <x:c r="G2" s="78" t="s">
        <x:v>4</x:v>
      </x:c>
      <x:c r="H2" s="79" t="s">
        <x:v>5</x:v>
      </x:c>
      <x:c r="I2" s="80" t="s">
        <x:v>6</x:v>
      </x:c>
      <x:c r="J2" s="81" t="s">
        <x:v>7</x:v>
      </x:c>
      <x:c r="K2" s="75" t="s">
        <x:v>17</x:v>
      </x:c>
      <x:c r="L2" s="75" t="s">
        <x:v>18</x:v>
      </x:c>
    </x:row>
    <x:row r="3">
      <x:c r="A3" s="43" t="s">
        <x:v>19</x:v>
      </x:c>
      <x:c r="B3" s="43" t="s">
        <x:v>20</x:v>
      </x:c>
      <x:c r="C3" s="43" t="s">
        <x:v>21</x:v>
      </x:c>
      <x:c r="D3" s="43"/>
      <x:c r="E3" s="104">
        <x:v>1</x:v>
      </x:c>
      <x:c r="F3" s="104">
        <x:v>1</x:v>
      </x:c>
      <x:c r="G3" s="104">
        <x:v>0</x:v>
      </x:c>
      <x:c r="H3" s="104">
        <x:v>0</x:v>
      </x:c>
      <x:c r="I3" s="104">
        <x:v>0</x:v>
      </x:c>
      <x:c r="J3" s="104">
        <x:v>0</x:v>
      </x:c>
      <x:c r="K3" s="105">
        <x:v>2</x:v>
      </x:c>
      <x:c r="L3" s="82"/>
    </x:row>
    <x:row r="4">
      <x:c r="A4" s="43" t="s">
        <x:v>19</x:v>
      </x:c>
      <x:c r="B4" s="43" t="s">
        <x:v>22</x:v>
      </x:c>
      <x:c r="C4" s="43" t="s">
        <x:v>23</x:v>
      </x:c>
      <x:c r="D4" s="43"/>
      <x:c r="E4" s="104">
        <x:v>1</x:v>
      </x:c>
      <x:c r="F4" s="104">
        <x:v>1</x:v>
      </x:c>
      <x:c r="G4" s="104">
        <x:v>0</x:v>
      </x:c>
      <x:c r="H4" s="104">
        <x:v>0</x:v>
      </x:c>
      <x:c r="I4" s="104">
        <x:v>1</x:v>
      </x:c>
      <x:c r="J4" s="104">
        <x:v>0</x:v>
      </x:c>
      <x:c r="K4" s="105">
        <x:v>3</x:v>
      </x:c>
      <x:c r="L4" s="82"/>
    </x:row>
    <x:row r="5" s="14" customFormat="1" ht="17.25">
      <x:c r="A5" s="43" t="s">
        <x:v>19</x:v>
      </x:c>
      <x:c r="B5" s="43" t="s">
        <x:v>24</x:v>
      </x:c>
      <x:c r="C5" s="43" t="s">
        <x:v>23</x:v>
      </x:c>
      <x:c r="D5" s="43"/>
      <x:c r="E5" s="104">
        <x:v>1</x:v>
      </x:c>
      <x:c r="F5" s="104">
        <x:v>1</x:v>
      </x:c>
      <x:c r="G5" s="104">
        <x:v>0</x:v>
      </x:c>
      <x:c r="H5" s="104">
        <x:v>0</x:v>
      </x:c>
      <x:c r="I5" s="104">
        <x:v>1</x:v>
      </x:c>
      <x:c r="J5" s="104">
        <x:v>0</x:v>
      </x:c>
      <x:c r="K5" s="105">
        <x:v>3</x:v>
      </x:c>
      <x:c r="L5" s="38"/>
    </x:row>
    <x:row r="6" s="14" customFormat="1" ht="17.25">
      <x:c r="A6" s="136" t="s">
        <x:v>25</x:v>
      </x:c>
      <x:c r="B6" s="138"/>
      <x:c r="C6" s="138"/>
      <x:c r="D6" s="138"/>
      <x:c r="E6" s="537" t="n">
        <x:f t="shared" ref="E6:K6" si="0">SUM(E3:E5)</x:f>
        <x:v>3</x:v>
      </x:c>
      <x:c r="F6" s="537" t="n">
        <x:f t="shared" si="0">SUM(F3:F5)</x:f>
        <x:v>3</x:v>
      </x:c>
      <x:c r="G6" s="537" t="n">
        <x:f t="shared" si="0">SUM(G3:G5)</x:f>
        <x:v>0</x:v>
      </x:c>
      <x:c r="H6" s="537" t="n">
        <x:f t="shared" si="0">SUM(H3:H5)</x:f>
        <x:v>0</x:v>
      </x:c>
      <x:c r="I6" s="537" t="n">
        <x:f t="shared" si="0">SUM(I3:I5)</x:f>
        <x:v>2</x:v>
      </x:c>
      <x:c r="J6" s="537" t="n">
        <x:f t="shared" si="0">SUM(J3:J5)</x:f>
        <x:v>0</x:v>
      </x:c>
      <x:c r="K6" s="537" t="n">
        <x:f t="shared" si="0">SUM(K3:K5)</x:f>
        <x:v>8</x:v>
      </x:c>
      <x:c r="L6" s="116"/>
    </x:row>
    <x:row r="7" s="14" customFormat="1" ht="17.25">
      <x:c r="A7" s="145" t="s">
        <x:v>26</x:v>
      </x:c>
      <x:c r="B7" s="146"/>
      <x:c r="C7" s="146"/>
      <x:c r="D7" s="146"/>
      <x:c r="E7" s="139" t="n">
        <x:f>IF($K$6=0,0,E6/$K$6)</x:f>
        <x:v>0.375</x:v>
      </x:c>
      <x:c r="F7" s="139" t="n">
        <x:f>IF($K$6=0,0,F6/$K$6)</x:f>
        <x:v>0.375</x:v>
      </x:c>
      <x:c r="G7" s="139" t="n">
        <x:f>IF($K$6=0,0,G6/$K$6)</x:f>
        <x:v>0</x:v>
      </x:c>
      <x:c r="H7" s="139" t="n">
        <x:f>IF($K$6=0,0,H6/$K$6)</x:f>
        <x:v>0</x:v>
      </x:c>
      <x:c r="I7" s="139" t="n">
        <x:f>IF($K$6=0,0,I6/$K$6)</x:f>
        <x:v>0.25</x:v>
      </x:c>
      <x:c r="J7" s="139" t="n">
        <x:f>IF($K$6=0,0,J6/$K$6)</x:f>
        <x:v>0</x:v>
      </x:c>
      <x:c r="K7" s="147" t="n">
        <x:f>IF($K$6=0,0,K6/$K$6)</x:f>
        <x:v>1</x:v>
      </x:c>
      <x:c r="L7" s="117"/>
    </x:row>
    <x:row r="8">
      <x:c r="A8" s="43" t="s">
        <x:v>27</x:v>
      </x:c>
      <x:c r="B8" s="43" t="s">
        <x:v>28</x:v>
      </x:c>
      <x:c r="C8" s="43" t="s">
        <x:v>29</x:v>
      </x:c>
      <x:c r="D8" s="43"/>
      <x:c r="E8" s="542">
        <x:v>2</x:v>
      </x:c>
      <x:c r="F8" s="542">
        <x:v>4</x:v>
      </x:c>
      <x:c r="G8" s="542">
        <x:v>0</x:v>
      </x:c>
      <x:c r="H8" s="542">
        <x:v>0</x:v>
      </x:c>
      <x:c r="I8" s="542">
        <x:v>2</x:v>
      </x:c>
      <x:c r="J8" s="542">
        <x:v>0</x:v>
      </x:c>
      <x:c r="K8" s="543">
        <x:v>8</x:v>
      </x:c>
      <x:c r="L8" s="82"/>
    </x:row>
    <x:row r="9">
      <x:c r="A9" s="43" t="s">
        <x:v>27</x:v>
      </x:c>
      <x:c r="B9" s="43" t="s">
        <x:v>30</x:v>
      </x:c>
      <x:c r="C9" s="43" t="s">
        <x:v>31</x:v>
      </x:c>
      <x:c r="D9" s="43"/>
      <x:c r="E9" s="542">
        <x:v>2</x:v>
      </x:c>
      <x:c r="F9" s="542">
        <x:v>2</x:v>
      </x:c>
      <x:c r="G9" s="542">
        <x:v>1</x:v>
      </x:c>
      <x:c r="H9" s="542">
        <x:v>1</x:v>
      </x:c>
      <x:c r="I9" s="542">
        <x:v>0</x:v>
      </x:c>
      <x:c r="J9" s="542">
        <x:v>0</x:v>
      </x:c>
      <x:c r="K9" s="543">
        <x:v>6</x:v>
      </x:c>
      <x:c r="L9" s="82"/>
    </x:row>
    <x:row r="10" s="14" customFormat="1" ht="17.25">
      <x:c r="A10" s="43" t="s">
        <x:v>27</x:v>
      </x:c>
      <x:c r="B10" s="43" t="s">
        <x:v>32</x:v>
      </x:c>
      <x:c r="C10" s="43" t="s">
        <x:v>33</x:v>
      </x:c>
      <x:c r="D10" s="43"/>
      <x:c r="E10" s="542">
        <x:v>1</x:v>
      </x:c>
      <x:c r="F10" s="542">
        <x:v>2</x:v>
      </x:c>
      <x:c r="G10" s="542">
        <x:v>0</x:v>
      </x:c>
      <x:c r="H10" s="542">
        <x:v>1</x:v>
      </x:c>
      <x:c r="I10" s="542">
        <x:v>1</x:v>
      </x:c>
      <x:c r="J10" s="542">
        <x:v>0</x:v>
      </x:c>
      <x:c r="K10" s="543">
        <x:v>5</x:v>
      </x:c>
      <x:c r="L10" s="82"/>
    </x:row>
    <x:row r="11">
      <x:c r="A11" s="43" t="s">
        <x:v>27</x:v>
      </x:c>
      <x:c r="B11" s="43" t="s">
        <x:v>34</x:v>
      </x:c>
      <x:c r="C11" s="43" t="s">
        <x:v>35</x:v>
      </x:c>
      <x:c r="D11" s="43"/>
      <x:c r="E11" s="542">
        <x:v>1</x:v>
      </x:c>
      <x:c r="F11" s="542">
        <x:v>1</x:v>
      </x:c>
      <x:c r="G11" s="542">
        <x:v>0</x:v>
      </x:c>
      <x:c r="H11" s="542">
        <x:v>0</x:v>
      </x:c>
      <x:c r="I11" s="542">
        <x:v>1</x:v>
      </x:c>
      <x:c r="J11" s="542">
        <x:v>0</x:v>
      </x:c>
      <x:c r="K11" s="543">
        <x:v>3</x:v>
      </x:c>
      <x:c r="L11" s="82"/>
    </x:row>
    <x:row r="12">
      <x:c r="A12" s="43" t="s">
        <x:v>27</x:v>
      </x:c>
      <x:c r="B12" s="43" t="s">
        <x:v>36</x:v>
      </x:c>
      <x:c r="C12" s="43" t="s">
        <x:v>37</x:v>
      </x:c>
      <x:c r="D12" s="43"/>
      <x:c r="E12" s="542">
        <x:v>2</x:v>
      </x:c>
      <x:c r="F12" s="542">
        <x:v>3</x:v>
      </x:c>
      <x:c r="G12" s="542">
        <x:v>0</x:v>
      </x:c>
      <x:c r="H12" s="542">
        <x:v>0</x:v>
      </x:c>
      <x:c r="I12" s="542">
        <x:v>1</x:v>
      </x:c>
      <x:c r="J12" s="542">
        <x:v>0</x:v>
      </x:c>
      <x:c r="K12" s="543">
        <x:v>6</x:v>
      </x:c>
      <x:c r="L12" s="82"/>
    </x:row>
    <x:row r="13">
      <x:c r="A13" s="43" t="s">
        <x:v>27</x:v>
      </x:c>
      <x:c r="B13" s="43" t="s">
        <x:v>38</x:v>
      </x:c>
      <x:c r="C13" s="43" t="s">
        <x:v>39</x:v>
      </x:c>
      <x:c r="D13" s="43"/>
      <x:c r="E13" s="542">
        <x:v>1</x:v>
      </x:c>
      <x:c r="F13" s="542">
        <x:v>2</x:v>
      </x:c>
      <x:c r="G13" s="542">
        <x:v>0</x:v>
      </x:c>
      <x:c r="H13" s="542">
        <x:v>1</x:v>
      </x:c>
      <x:c r="I13" s="542">
        <x:v>0</x:v>
      </x:c>
      <x:c r="J13" s="542">
        <x:v>0</x:v>
      </x:c>
      <x:c r="K13" s="543">
        <x:v>4</x:v>
      </x:c>
      <x:c r="L13" s="82"/>
    </x:row>
    <x:row r="14">
      <x:c r="A14" s="43" t="s">
        <x:v>27</x:v>
      </x:c>
      <x:c r="B14" s="43" t="s">
        <x:v>40</x:v>
      </x:c>
      <x:c r="C14" s="43" t="s">
        <x:v>41</x:v>
      </x:c>
      <x:c r="D14" s="43"/>
      <x:c r="E14" s="542">
        <x:v>1</x:v>
      </x:c>
      <x:c r="F14" s="542">
        <x:v>2</x:v>
      </x:c>
      <x:c r="G14" s="542">
        <x:v>0</x:v>
      </x:c>
      <x:c r="H14" s="542">
        <x:v>0</x:v>
      </x:c>
      <x:c r="I14" s="542">
        <x:v>1</x:v>
      </x:c>
      <x:c r="J14" s="542">
        <x:v>0</x:v>
      </x:c>
      <x:c r="K14" s="543">
        <x:v>4</x:v>
      </x:c>
      <x:c r="L14" s="82"/>
    </x:row>
    <x:row r="15">
      <x:c r="A15" s="43" t="s">
        <x:v>27</x:v>
      </x:c>
      <x:c r="B15" s="43" t="s">
        <x:v>42</x:v>
      </x:c>
      <x:c r="C15" s="43" t="s">
        <x:v>43</x:v>
      </x:c>
      <x:c r="D15" s="43"/>
      <x:c r="E15" s="542">
        <x:v>2</x:v>
      </x:c>
      <x:c r="F15" s="542">
        <x:v>3</x:v>
      </x:c>
      <x:c r="G15" s="542">
        <x:v>1</x:v>
      </x:c>
      <x:c r="H15" s="542">
        <x:v>0</x:v>
      </x:c>
      <x:c r="I15" s="542">
        <x:v>1</x:v>
      </x:c>
      <x:c r="J15" s="542">
        <x:v>0</x:v>
      </x:c>
      <x:c r="K15" s="543">
        <x:v>7</x:v>
      </x:c>
      <x:c r="L15" s="82"/>
    </x:row>
    <x:row r="16">
      <x:c r="A16" s="43" t="s">
        <x:v>27</x:v>
      </x:c>
      <x:c r="B16" s="43" t="s">
        <x:v>44</x:v>
      </x:c>
      <x:c r="C16" s="43" t="s">
        <x:v>45</x:v>
      </x:c>
      <x:c r="D16" s="43"/>
      <x:c r="E16" s="542">
        <x:v>1</x:v>
      </x:c>
      <x:c r="F16" s="542">
        <x:v>2</x:v>
      </x:c>
      <x:c r="G16" s="542">
        <x:v>0</x:v>
      </x:c>
      <x:c r="H16" s="542">
        <x:v>0</x:v>
      </x:c>
      <x:c r="I16" s="542">
        <x:v>1</x:v>
      </x:c>
      <x:c r="J16" s="542">
        <x:v>0</x:v>
      </x:c>
      <x:c r="K16" s="543">
        <x:v>4</x:v>
      </x:c>
      <x:c r="L16" s="82"/>
    </x:row>
    <x:row r="17">
      <x:c r="A17" s="43" t="s">
        <x:v>27</x:v>
      </x:c>
      <x:c r="B17" s="43" t="s">
        <x:v>46</x:v>
      </x:c>
      <x:c r="C17" s="43" t="s">
        <x:v>47</x:v>
      </x:c>
      <x:c r="D17" s="43"/>
      <x:c r="E17" s="542">
        <x:v>0</x:v>
      </x:c>
      <x:c r="F17" s="542">
        <x:v>1</x:v>
      </x:c>
      <x:c r="G17" s="542">
        <x:v>0</x:v>
      </x:c>
      <x:c r="H17" s="542">
        <x:v>0</x:v>
      </x:c>
      <x:c r="I17" s="542">
        <x:v>1</x:v>
      </x:c>
      <x:c r="J17" s="542">
        <x:v>0</x:v>
      </x:c>
      <x:c r="K17" s="543">
        <x:v>2</x:v>
      </x:c>
      <x:c r="L17" s="82"/>
    </x:row>
    <x:row r="18">
      <x:c r="A18" s="43" t="s">
        <x:v>27</x:v>
      </x:c>
      <x:c r="B18" s="43" t="s">
        <x:v>48</x:v>
      </x:c>
      <x:c r="C18" s="43" t="s">
        <x:v>49</x:v>
      </x:c>
      <x:c r="D18" s="43"/>
      <x:c r="E18" s="542">
        <x:v>0</x:v>
      </x:c>
      <x:c r="F18" s="542">
        <x:v>2</x:v>
      </x:c>
      <x:c r="G18" s="542">
        <x:v>0</x:v>
      </x:c>
      <x:c r="H18" s="542">
        <x:v>1</x:v>
      </x:c>
      <x:c r="I18" s="542">
        <x:v>1</x:v>
      </x:c>
      <x:c r="J18" s="542">
        <x:v>0</x:v>
      </x:c>
      <x:c r="K18" s="543">
        <x:v>4</x:v>
      </x:c>
      <x:c r="L18" s="82"/>
    </x:row>
    <x:row r="19">
      <x:c r="A19" s="43" t="s">
        <x:v>27</x:v>
      </x:c>
      <x:c r="B19" s="85" t="s">
        <x:v>50</x:v>
      </x:c>
      <x:c r="C19" s="43" t="s">
        <x:v>51</x:v>
      </x:c>
      <x:c r="D19" s="43"/>
      <x:c r="E19" s="542">
        <x:v>1</x:v>
      </x:c>
      <x:c r="F19" s="542">
        <x:v>2</x:v>
      </x:c>
      <x:c r="G19" s="542">
        <x:v>0</x:v>
      </x:c>
      <x:c r="H19" s="542">
        <x:v>0</x:v>
      </x:c>
      <x:c r="I19" s="542">
        <x:v>1</x:v>
      </x:c>
      <x:c r="J19" s="542">
        <x:v>0</x:v>
      </x:c>
      <x:c r="K19" s="543">
        <x:v>4</x:v>
      </x:c>
      <x:c r="L19" s="82"/>
    </x:row>
    <x:row r="20">
      <x:c r="A20" s="43" t="s">
        <x:v>27</x:v>
      </x:c>
      <x:c r="B20" s="43" t="s">
        <x:v>52</x:v>
      </x:c>
      <x:c r="C20" s="43" t="s">
        <x:v>53</x:v>
      </x:c>
      <x:c r="D20" s="43"/>
      <x:c r="E20" s="542">
        <x:v>1</x:v>
      </x:c>
      <x:c r="F20" s="542">
        <x:v>2</x:v>
      </x:c>
      <x:c r="G20" s="542">
        <x:v>0</x:v>
      </x:c>
      <x:c r="H20" s="542">
        <x:v>0</x:v>
      </x:c>
      <x:c r="I20" s="542">
        <x:v>0</x:v>
      </x:c>
      <x:c r="J20" s="542">
        <x:v>0</x:v>
      </x:c>
      <x:c r="K20" s="543">
        <x:v>3</x:v>
      </x:c>
      <x:c r="L20" s="38"/>
    </x:row>
    <x:row r="21" s="14" customFormat="1" ht="17.25">
      <x:c r="A21" s="43" t="s">
        <x:v>27</x:v>
      </x:c>
      <x:c r="B21" s="43" t="s">
        <x:v>54</x:v>
      </x:c>
      <x:c r="C21" s="43" t="s">
        <x:v>33</x:v>
      </x:c>
      <x:c r="D21" s="43"/>
      <x:c r="E21" s="542">
        <x:v>2</x:v>
      </x:c>
      <x:c r="F21" s="542">
        <x:v>3</x:v>
      </x:c>
      <x:c r="G21" s="542">
        <x:v>0</x:v>
      </x:c>
      <x:c r="H21" s="542">
        <x:v>0</x:v>
      </x:c>
      <x:c r="I21" s="542">
        <x:v>0</x:v>
      </x:c>
      <x:c r="J21" s="542">
        <x:v>1</x:v>
      </x:c>
      <x:c r="K21" s="543">
        <x:v>6</x:v>
      </x:c>
      <x:c r="L21" s="38"/>
    </x:row>
    <x:row r="22" s="14" customFormat="1" ht="17.25">
      <x:c r="A22" s="83" t="s">
        <x:v>27</x:v>
      </x:c>
      <x:c r="B22" s="84" t="s">
        <x:v>55</x:v>
      </x:c>
      <x:c r="C22" s="84" t="s">
        <x:v>56</x:v>
      </x:c>
      <x:c r="D22" s="84"/>
      <x:c r="E22" s="545">
        <x:v>1</x:v>
      </x:c>
      <x:c r="F22" s="545">
        <x:v>2</x:v>
      </x:c>
      <x:c r="G22" s="545">
        <x:v>0</x:v>
      </x:c>
      <x:c r="H22" s="545">
        <x:v>0</x:v>
      </x:c>
      <x:c r="I22" s="545">
        <x:v>1</x:v>
      </x:c>
      <x:c r="J22" s="545">
        <x:v>0</x:v>
      </x:c>
      <x:c r="K22" s="545" t="n">
        <x:f>SUM(E22:J22)</x:f>
        <x:v>4</x:v>
      </x:c>
      <x:c r="L22" s="84"/>
    </x:row>
    <x:row r="23" s="14" customFormat="1" ht="17.25">
      <x:c r="A23" s="108" t="s">
        <x:v>27</x:v>
      </x:c>
      <x:c r="B23" s="109" t="s">
        <x:v>57</x:v>
      </x:c>
      <x:c r="C23" s="109" t="s">
        <x:v>58</x:v>
      </x:c>
      <x:c r="D23" s="109"/>
      <x:c r="E23" s="546">
        <x:v>1</x:v>
      </x:c>
      <x:c r="F23" s="546">
        <x:v>2</x:v>
      </x:c>
      <x:c r="G23" s="546">
        <x:v>0</x:v>
      </x:c>
      <x:c r="H23" s="546">
        <x:v>0</x:v>
      </x:c>
      <x:c r="I23" s="546">
        <x:v>0</x:v>
      </x:c>
      <x:c r="J23" s="546">
        <x:v>0</x:v>
      </x:c>
      <x:c r="K23" s="547" t="n">
        <x:f>SUM(E23:J23)</x:f>
        <x:v>3</x:v>
      </x:c>
      <x:c r="L23" s="109"/>
    </x:row>
    <x:row r="24" s="14" customFormat="1" ht="17.25">
      <x:c r="A24" s="136" t="s">
        <x:v>27</x:v>
      </x:c>
      <x:c r="B24" s="136" t="s">
        <x:v>59</x:v>
      </x:c>
      <x:c r="C24" s="136" t="s">
        <x:v>33</x:v>
      </x:c>
      <x:c r="D24" s="136"/>
      <x:c r="E24" s="537">
        <x:v>2</x:v>
      </x:c>
      <x:c r="F24" s="537">
        <x:v>2</x:v>
      </x:c>
      <x:c r="G24" s="537">
        <x:v>0</x:v>
      </x:c>
      <x:c r="H24" s="537">
        <x:v>0</x:v>
      </x:c>
      <x:c r="I24" s="537">
        <x:v>0</x:v>
      </x:c>
      <x:c r="J24" s="537">
        <x:v>2</x:v>
      </x:c>
      <x:c r="K24" s="548" t="n">
        <x:f>SUM(E24:J24)</x:f>
        <x:v>6</x:v>
      </x:c>
      <x:c r="L24" s="118"/>
    </x:row>
    <x:row r="25">
      <x:c r="A25" s="145" t="str">
        <x:v>남부</x:v>
      </x:c>
      <x:c r="B25" s="145" t="str">
        <x:v>평택고덕국제화계획지구 Abc-14BL 공동주택 신축공사</x:v>
      </x:c>
      <x:c r="C25" s="145" t="str">
        <x:v>(주)제일타워공영</x:v>
      </x:c>
      <x:c r="D25" s="145" t="str">
        <x:v>원청사: (주)비에스한양</x:v>
      </x:c>
      <x:c r="E25" s="538" t="n">
        <x:v>1</x:v>
      </x:c>
      <x:c r="F25" s="538" t="n">
        <x:v>2</x:v>
      </x:c>
      <x:c r="G25" s="538" t="n">
        <x:v>0</x:v>
      </x:c>
      <x:c r="H25" s="538" t="n">
        <x:v>0</x:v>
      </x:c>
      <x:c r="I25" s="538" t="n">
        <x:v>1</x:v>
      </x:c>
      <x:c r="J25" s="538" t="n">
        <x:v>0</x:v>
      </x:c>
      <x:c r="K25" s="539" t="n">
        <x:f>SUM(E25:J25)</x:f>
        <x:v>4</x:v>
      </x:c>
      <x:c r="L25" s="119" t="str">
        <x:v>현장 소재지 평택시 / 원본 조합원 소속 중부지부</x:v>
      </x:c>
    </x:row>
    <x:row r="26">
      <x:c r="A26" s="145" t="inlineStr">
        <x:is>
          <x:t xml:space="preserve">남부</x:t>
        </x:is>
      </x:c>
      <x:c r="B26" s="145" t="inlineStr">
        <x:is>
          <x:t xml:space="preserve">평택고덕 Aa-38BL 아파트 건설공사 15공구</x:t>
        </x:is>
      </x:c>
      <x:c r="C26" s="145" t="inlineStr">
        <x:is>
          <x:t xml:space="preserve">(주)성광엔지니어링</x:t>
        </x:is>
      </x:c>
      <x:c r="D26" s="145" t="inlineStr">
        <x:is>
          <x:t xml:space="preserve">원청사: 효성중공업(주)</x:t>
        </x:is>
      </x:c>
      <x:c r="E26" s="538">
        <x:v>1</x:v>
      </x:c>
      <x:c r="F26" s="538">
        <x:v>2</x:v>
      </x:c>
      <x:c r="G26" s="538">
        <x:v>0</x:v>
      </x:c>
      <x:c r="H26" s="538">
        <x:v>0</x:v>
      </x:c>
      <x:c r="I26" s="538">
        <x:v>1</x:v>
      </x:c>
      <x:c r="J26" s="538">
        <x:v>0</x:v>
      </x:c>
      <x:c r="K26" s="539" t="n">
        <x:f>SUM(E26:J26)</x:f>
        <x:v>4</x:v>
      </x:c>
      <x:c r="L26" s="119" t="inlineStr">
        <x:is>
          <x:t xml:space="preserve">2026-10-19 입사 / 평택시 소재 / 원본 소속 중부지부</x:t>
        </x:is>
      </x:c>
    </x:row>
    <x:row r="27">
      <x:c r="A27" s="38" t="str">
        <x:v>남부지부 소계</x:v>
      </x:c>
      <x:c r="B27" s="38"/>
      <x:c r="C27" s="38"/>
      <x:c r="D27" s="38"/>
      <x:c r="E27" s="540" t="n">
        <x:f>SUM(E8:E26)</x:f>
        <x:v>23</x:v>
      </x:c>
      <x:c r="F27" s="540" t="n">
        <x:f>SUM(F8:F26)</x:f>
        <x:v>41</x:v>
      </x:c>
      <x:c r="G27" s="540" t="n">
        <x:f>SUM(G8:G26)</x:f>
        <x:v>2</x:v>
      </x:c>
      <x:c r="H27" s="540" t="n">
        <x:f>SUM(H8:H26)</x:f>
        <x:v>4</x:v>
      </x:c>
      <x:c r="I27" s="540" t="n">
        <x:f>SUM(I8:I26)</x:f>
        <x:v>14</x:v>
      </x:c>
      <x:c r="J27" s="540" t="n">
        <x:f>SUM(J8:J26)</x:f>
        <x:v>3</x:v>
      </x:c>
      <x:c r="K27" s="540" t="n">
        <x:f>SUM(K8:K26)</x:f>
        <x:v>87</x:v>
      </x:c>
      <x:c r="L27" s="38"/>
    </x:row>
    <x:row r="28" s="14" customFormat="1">
      <x:c r="A28" s="86" t="str">
        <x:v>소계퍼센테이지</x:v>
      </x:c>
      <x:c r="B28" s="86"/>
      <x:c r="C28" s="86"/>
      <x:c r="D28" s="86"/>
      <x:c r="E28" s="150" t="n">
        <x:f>IF($K$27=0,0,E27/$K$27)</x:f>
        <x:v>0.26436781609195403</x:v>
      </x:c>
      <x:c r="F28" s="150" t="n">
        <x:f>IF($K$27=0,0,F27/$K$27)</x:f>
        <x:v>0.47126436781609193</x:v>
      </x:c>
      <x:c r="G28" s="150" t="n">
        <x:f>IF($K$27=0,0,G27/$K$27)</x:f>
        <x:v>0.022988505747126436</x:v>
      </x:c>
      <x:c r="H28" s="150" t="n">
        <x:f>IF($K$27=0,0,H27/$K$27)</x:f>
        <x:v>0.04597701149425287</x:v>
      </x:c>
      <x:c r="I28" s="150" t="n">
        <x:f>IF($K$27=0,0,I27/$K$27)</x:f>
        <x:v>0.16091954022988506</x:v>
      </x:c>
      <x:c r="J28" s="150" t="n">
        <x:f>IF($K$27=0,0,J27/$K$27)</x:f>
        <x:v>0.034482758620689655</x:v>
      </x:c>
      <x:c r="K28" s="150" t="n">
        <x:f>IF($K$27=0,0,K27/$K$27)</x:f>
        <x:v>1</x:v>
      </x:c>
      <x:c r="L28" s="86"/>
    </x:row>
    <x:row r="29" s="14" customFormat="1" ht="17.25">
      <x:c r="A29" s="83" t="str">
        <x:v>남서</x:v>
      </x:c>
      <x:c r="B29" s="84" t="str">
        <x:v>남양우미린</x:v>
      </x:c>
      <x:c r="C29" s="84" t="str">
        <x:v>뉴월드타워 주식회사</x:v>
      </x:c>
      <x:c r="D29" s="84"/>
      <x:c r="E29" s="545" t="n">
        <x:v>1</x:v>
      </x:c>
      <x:c r="F29" s="545" t="n">
        <x:v>1</x:v>
      </x:c>
      <x:c r="G29" s="545" t="n">
        <x:v>0</x:v>
      </x:c>
      <x:c r="H29" s="545" t="n">
        <x:v>0</x:v>
      </x:c>
      <x:c r="I29" s="545" t="n">
        <x:v>1</x:v>
      </x:c>
      <x:c r="J29" s="545" t="n">
        <x:v>0</x:v>
      </x:c>
      <x:c r="K29" s="545" t="n">
        <x:v>3</x:v>
      </x:c>
      <x:c r="L29" s="84"/>
    </x:row>
    <x:row r="30" s="14" customFormat="1" ht="17.25">
      <x:c r="A30" s="108" t="str">
        <x:v>남서</x:v>
      </x:c>
      <x:c r="B30" s="109" t="str">
        <x:v>화성비봉 지역주택조합 아파트 신축공사</x:v>
      </x:c>
      <x:c r="C30" s="109" t="str">
        <x:v>주식회사 삼진타워</x:v>
      </x:c>
      <x:c r="D30" s="109"/>
      <x:c r="E30" s="549" t="n">
        <x:v>1</x:v>
      </x:c>
      <x:c r="F30" s="546" t="n">
        <x:v>1</x:v>
      </x:c>
      <x:c r="G30" s="546" t="n">
        <x:v>0</x:v>
      </x:c>
      <x:c r="H30" s="546" t="n">
        <x:v>0</x:v>
      </x:c>
      <x:c r="I30" s="546" t="n">
        <x:v>1</x:v>
      </x:c>
      <x:c r="J30" s="546" t="n">
        <x:v>2</x:v>
      </x:c>
      <x:c r="K30" s="547" t="n">
        <x:v>5</x:v>
      </x:c>
      <x:c r="L30" s="109"/>
    </x:row>
    <x:row r="31">
      <x:c r="A31" s="120" t="str">
        <x:v>남서</x:v>
      </x:c>
      <x:c r="B31" s="120" t="str">
        <x:v>오산세교2지구 M1블록 민간임대 주상복합 신축공사</x:v>
      </x:c>
      <x:c r="C31" s="120" t="str">
        <x:v>(주)남산공영</x:v>
      </x:c>
      <x:c r="D31" s="121"/>
      <x:c r="E31" s="550" t="n">
        <x:v>1</x:v>
      </x:c>
      <x:c r="F31" s="550" t="n">
        <x:v>1</x:v>
      </x:c>
      <x:c r="G31" s="550" t="n">
        <x:v>0</x:v>
      </x:c>
      <x:c r="H31" s="550" t="n">
        <x:v>0</x:v>
      </x:c>
      <x:c r="I31" s="550" t="n">
        <x:v>0</x:v>
      </x:c>
      <x:c r="J31" s="550" t="n">
        <x:v>2</x:v>
      </x:c>
      <x:c r="K31" s="548" t="n">
        <x:v>4</x:v>
      </x:c>
      <x:c r="L31" s="120"/>
    </x:row>
    <x:row r="32">
      <x:c r="A32" s="151" t="str">
        <x:v>남서</x:v>
      </x:c>
      <x:c r="B32" s="151" t="str">
        <x:v>오산 AMK R&amp;D</x:v>
      </x:c>
      <x:c r="C32" s="151" t="str">
        <x:v>신우개발(주)</x:v>
      </x:c>
      <x:c r="D32" s="151"/>
      <x:c r="E32" s="551" t="n">
        <x:v>1</x:v>
      </x:c>
      <x:c r="F32" s="551" t="n">
        <x:v>0</x:v>
      </x:c>
      <x:c r="G32" s="551" t="n">
        <x:v>0</x:v>
      </x:c>
      <x:c r="H32" s="551" t="n">
        <x:v>0</x:v>
      </x:c>
      <x:c r="I32" s="551" t="n">
        <x:v>0</x:v>
      </x:c>
      <x:c r="J32" s="551" t="n">
        <x:v>0</x:v>
      </x:c>
      <x:c r="K32" s="539" t="n">
        <x:f>SUM(E32:J32)</x:f>
        <x:v>1</x:v>
      </x:c>
      <x:c r="L32" s="119"/>
    </x:row>
    <x:row r="33" s="14" customFormat="1">
      <x:c r="A33" s="153" t="str">
        <x:v>남서</x:v>
      </x:c>
      <x:c r="B33" s="153" t="str">
        <x:v>오산세교우미린레이크시티</x:v>
      </x:c>
      <x:c r="C33" s="153" t="str">
        <x:v>뉴월드타워 주식회사</x:v>
      </x:c>
      <x:c r="D33" s="153"/>
      <x:c r="E33" s="540" t="n">
        <x:v>2</x:v>
      </x:c>
      <x:c r="F33" s="540" t="n">
        <x:v>4</x:v>
      </x:c>
      <x:c r="G33" s="540" t="n">
        <x:v>1</x:v>
      </x:c>
      <x:c r="H33" s="540" t="n">
        <x:v>0</x:v>
      </x:c>
      <x:c r="I33" s="540" t="n">
        <x:v>1</x:v>
      </x:c>
      <x:c r="J33" s="540" t="n">
        <x:v>0</x:v>
      </x:c>
      <x:c r="K33" s="541" t="n">
        <x:v>8</x:v>
      </x:c>
      <x:c r="L33" s="38"/>
    </x:row>
    <x:row r="34" s="14" customFormat="1">
      <x:c r="A34" s="38" t="str">
        <x:v>남서지부 소계</x:v>
      </x:c>
      <x:c r="B34" s="38"/>
      <x:c r="C34" s="38"/>
      <x:c r="D34" s="38"/>
      <x:c r="E34" s="540" t="n">
        <x:f>SUM(E29:E33)</x:f>
        <x:v>6</x:v>
      </x:c>
      <x:c r="F34" s="540" t="n">
        <x:f>SUM(F29:F33)</x:f>
        <x:v>7</x:v>
      </x:c>
      <x:c r="G34" s="540" t="n">
        <x:f>SUM(G29:G33)</x:f>
        <x:v>1</x:v>
      </x:c>
      <x:c r="H34" s="540" t="n">
        <x:f>SUM(H29:H33)</x:f>
        <x:v>0</x:v>
      </x:c>
      <x:c r="I34" s="540" t="n">
        <x:f>SUM(I29:I33)</x:f>
        <x:v>3</x:v>
      </x:c>
      <x:c r="J34" s="540" t="n">
        <x:f>SUM(J29:J33)</x:f>
        <x:v>4</x:v>
      </x:c>
      <x:c r="K34" s="540" t="n">
        <x:f>SUM(K29:K33)</x:f>
        <x:v>21</x:v>
      </x:c>
      <x:c r="L34" s="38"/>
    </x:row>
    <x:row r="35" s="14" customFormat="1" ht="17.25">
      <x:c r="A35" s="83" t="str">
        <x:v>소계퍼센테이지</x:v>
      </x:c>
      <x:c r="B35" s="84"/>
      <x:c r="C35" s="84"/>
      <x:c r="D35" s="84"/>
      <x:c r="E35" s="565" t="n">
        <x:f>IF($K$34=0,0,E34/$K$34)</x:f>
        <x:v>0.2857142857142857</x:v>
      </x:c>
      <x:c r="F35" s="565" t="n">
        <x:f>IF($K$34=0,0,F34/$K$34)</x:f>
        <x:v>0.3333333333333333</x:v>
      </x:c>
      <x:c r="G35" s="565" t="n">
        <x:f>IF($K$34=0,0,G34/$K$34)</x:f>
        <x:v>0.047619047619047616</x:v>
      </x:c>
      <x:c r="H35" s="565" t="n">
        <x:f>IF($K$34=0,0,H34/$K$34)</x:f>
        <x:v>0</x:v>
      </x:c>
      <x:c r="I35" s="565" t="n">
        <x:f>IF($K$34=0,0,I34/$K$34)</x:f>
        <x:v>0.14285714285714285</x:v>
      </x:c>
      <x:c r="J35" s="565" t="n">
        <x:f>IF($K$34=0,0,J34/$K$34)</x:f>
        <x:v>0.19047619047619047</x:v>
      </x:c>
      <x:c r="K35" s="565" t="n">
        <x:f>IF($K$34=0,0,K34/$K$34)</x:f>
        <x:v>1</x:v>
      </x:c>
      <x:c r="L35" s="84"/>
    </x:row>
    <x:row r="36">
      <x:c r="A36" s="108" t="str">
        <x:v>동부</x:v>
      </x:c>
      <x:c r="B36" s="110" t="str">
        <x:v>이천한양</x:v>
      </x:c>
      <x:c r="C36" s="110" t="str">
        <x:v>주식회사 현성건설</x:v>
      </x:c>
      <x:c r="D36" s="110" t="str">
        <x:v>현성</x:v>
      </x:c>
      <x:c r="E36" s="98" t="n">
        <x:v>0</x:v>
      </x:c>
      <x:c r="F36" s="98" t="n">
        <x:v>2</x:v>
      </x:c>
      <x:c r="G36" s="98" t="n">
        <x:v>0</x:v>
      </x:c>
      <x:c r="H36" s="98" t="n">
        <x:v>0</x:v>
      </x:c>
      <x:c r="I36" s="98" t="n">
        <x:v>0</x:v>
      </x:c>
      <x:c r="J36" s="98" t="n">
        <x:v>2</x:v>
      </x:c>
      <x:c r="K36" s="98" t="n">
        <x:v>0</x:v>
      </x:c>
      <x:c r="L36" s="110" t="str">
        <x:v>통계제외</x:v>
      </x:c>
    </x:row>
    <x:row r="37">
      <x:c r="A37" s="115" t="str">
        <x:v>동부</x:v>
      </x:c>
      <x:c r="B37" s="115" t="str">
        <x:v>요진건설</x:v>
      </x:c>
      <x:c r="C37" s="115" t="str">
        <x:v>주식회사 한산타워</x:v>
      </x:c>
      <x:c r="D37" s="115"/>
      <x:c r="E37" s="537" t="n">
        <x:v>1</x:v>
      </x:c>
      <x:c r="F37" s="537" t="n">
        <x:v>1</x:v>
      </x:c>
      <x:c r="G37" s="537" t="n">
        <x:v>0</x:v>
      </x:c>
      <x:c r="H37" s="537" t="n">
        <x:v>0</x:v>
      </x:c>
      <x:c r="I37" s="537" t="n">
        <x:v>0</x:v>
      </x:c>
      <x:c r="J37" s="537" t="n">
        <x:v>0</x:v>
      </x:c>
      <x:c r="K37" s="548" t="n">
        <x:v>2</x:v>
      </x:c>
      <x:c r="L37" s="118"/>
    </x:row>
    <x:row r="38">
      <x:c r="A38" s="151" t="str">
        <x:v>동부</x:v>
      </x:c>
      <x:c r="B38" s="151" t="str">
        <x:v>홍문2지구 공동주택</x:v>
      </x:c>
      <x:c r="C38" s="151" t="str">
        <x:v>(주)한진</x:v>
      </x:c>
      <x:c r="D38" s="151"/>
      <x:c r="E38" s="551" t="n">
        <x:v>1</x:v>
      </x:c>
      <x:c r="F38" s="551" t="n">
        <x:v>1</x:v>
      </x:c>
      <x:c r="G38" s="551"/>
      <x:c r="H38" s="551"/>
      <x:c r="I38" s="551"/>
      <x:c r="J38" s="551" t="n">
        <x:v>2</x:v>
      </x:c>
      <x:c r="K38" s="539" t="n">
        <x:v>4</x:v>
      </x:c>
      <x:c r="L38" s="119"/>
    </x:row>
    <x:row r="39">
      <x:c r="A39" s="154" t="str">
        <x:v>동부</x:v>
      </x:c>
      <x:c r="B39" s="154" t="str">
        <x:v>이천 증포5지구 칸타빌 에듀파크 신축공사</x:v>
      </x:c>
      <x:c r="C39" s="154" t="str">
        <x:v>국제산업렌탈(주)</x:v>
      </x:c>
      <x:c r="D39" s="154"/>
      <x:c r="E39" s="542" t="n">
        <x:v>1</x:v>
      </x:c>
      <x:c r="F39" s="542" t="n">
        <x:v>2</x:v>
      </x:c>
      <x:c r="G39" s="542" t="n">
        <x:v>0</x:v>
      </x:c>
      <x:c r="H39" s="542" t="n">
        <x:v>0</x:v>
      </x:c>
      <x:c r="I39" s="542" t="n">
        <x:v>0</x:v>
      </x:c>
      <x:c r="J39" s="542" t="n">
        <x:v>0</x:v>
      </x:c>
      <x:c r="K39" s="543" t="n">
        <x:f>SUM(E39:J39)</x:f>
        <x:v>3</x:v>
      </x:c>
      <x:c r="L39" s="82"/>
    </x:row>
    <x:row r="40">
      <x:c r="A40" s="43" t="str">
        <x:v>동부</x:v>
      </x:c>
      <x:c r="B40" s="43" t="str">
        <x:v>경안2지구 도시개발사업 주상복합 신축공사</x:v>
      </x:c>
      <x:c r="C40" s="43" t="str">
        <x:v>(주)예림타워</x:v>
      </x:c>
      <x:c r="D40" s="88"/>
      <x:c r="E40" s="542" t="n">
        <x:v>1</x:v>
      </x:c>
      <x:c r="F40" s="542" t="n">
        <x:v>1</x:v>
      </x:c>
      <x:c r="G40" s="542" t="n">
        <x:v>0</x:v>
      </x:c>
      <x:c r="H40" s="542" t="n">
        <x:v>0</x:v>
      </x:c>
      <x:c r="I40" s="542" t="n">
        <x:v>0</x:v>
      </x:c>
      <x:c r="J40" s="542" t="n">
        <x:v>0</x:v>
      </x:c>
      <x:c r="K40" s="543" t="n">
        <x:v>2</x:v>
      </x:c>
      <x:c r="L40" s="82"/>
    </x:row>
    <x:row r="41">
      <x:c r="A41" s="43" t="str">
        <x:v>동부지부 소계</x:v>
      </x:c>
      <x:c r="B41" s="43"/>
      <x:c r="C41" s="43"/>
      <x:c r="D41" s="43"/>
      <x:c r="E41" s="542" t="n">
        <x:f>SUM(E37:E40)</x:f>
        <x:v>4</x:v>
      </x:c>
      <x:c r="F41" s="542" t="n">
        <x:f>SUM(F37:F40)</x:f>
        <x:v>5</x:v>
      </x:c>
      <x:c r="G41" s="542" t="n">
        <x:f>SUM(G37:G40)</x:f>
        <x:v>0</x:v>
      </x:c>
      <x:c r="H41" s="542" t="n">
        <x:f>SUM(H37:H40)</x:f>
        <x:v>0</x:v>
      </x:c>
      <x:c r="I41" s="542" t="n">
        <x:f>SUM(I37:I40)</x:f>
        <x:v>0</x:v>
      </x:c>
      <x:c r="J41" s="542" t="n">
        <x:f>SUM(J37:J40)</x:f>
        <x:v>2</x:v>
      </x:c>
      <x:c r="K41" s="543" t="n">
        <x:f>SUM(K37:K40)</x:f>
        <x:v>11</x:v>
      </x:c>
      <x:c r="L41" s="82"/>
    </x:row>
    <x:row r="42">
      <x:c r="A42" s="43" t="str">
        <x:v>소계퍼센테이지</x:v>
      </x:c>
      <x:c r="B42" s="43"/>
      <x:c r="C42" s="43"/>
      <x:c r="D42" s="43"/>
      <x:c r="E42" s="102" t="n">
        <x:f>IF($K$41=0,0,E41/$K$41)</x:f>
        <x:v>0.36363636363636365</x:v>
      </x:c>
      <x:c r="F42" s="102" t="n">
        <x:f>IF($K$41=0,0,F41/$K$41)</x:f>
        <x:v>0.45454545454545453</x:v>
      </x:c>
      <x:c r="G42" s="102" t="n">
        <x:f>IF($K$41=0,0,G41/$K$41)</x:f>
        <x:v>0</x:v>
      </x:c>
      <x:c r="H42" s="102" t="n">
        <x:f>IF($K$41=0,0,H41/$K$41)</x:f>
        <x:v>0</x:v>
      </x:c>
      <x:c r="I42" s="102" t="n">
        <x:f>IF($K$41=0,0,I41/$K$41)</x:f>
        <x:v>0</x:v>
      </x:c>
      <x:c r="J42" s="102" t="n">
        <x:f>IF($K$41=0,0,J41/$K$41)</x:f>
        <x:v>0.18181818181818182</x:v>
      </x:c>
      <x:c r="K42" s="103" t="n">
        <x:f>IF($K$41=0,0,K41/$K$41)</x:f>
        <x:v>1</x:v>
      </x:c>
      <x:c r="L42" s="82"/>
    </x:row>
    <x:row r="43">
      <x:c r="A43" s="43" t="str">
        <x:v>서부</x:v>
      </x:c>
      <x:c r="B43" s="43" t="str">
        <x:v>안산프로젝트팀부크(현대건설)</x:v>
      </x:c>
      <x:c r="C43" s="43" t="str">
        <x:v>주식회사 한불타워</x:v>
      </x:c>
      <x:c r="D43" s="43"/>
      <x:c r="E43" s="542" t="n">
        <x:v>1</x:v>
      </x:c>
      <x:c r="F43" s="542" t="n">
        <x:v>1</x:v>
      </x:c>
      <x:c r="G43" s="542" t="n">
        <x:v>0</x:v>
      </x:c>
      <x:c r="H43" s="542" t="n">
        <x:v>0</x:v>
      </x:c>
      <x:c r="I43" s="542" t="n">
        <x:v>0</x:v>
      </x:c>
      <x:c r="J43" s="542" t="n">
        <x:v>0</x:v>
      </x:c>
      <x:c r="K43" s="543" t="n">
        <x:v>2</x:v>
      </x:c>
      <x:c r="L43" s="82"/>
    </x:row>
    <x:row r="44">
      <x:c r="A44" s="38" t="str">
        <x:v>서부</x:v>
      </x:c>
      <x:c r="B44" s="38" t="str">
        <x:v>안산글로벌클라우드(삼성물산)</x:v>
      </x:c>
      <x:c r="C44" s="38" t="str">
        <x:v>정호개발주식회사</x:v>
      </x:c>
      <x:c r="D44" s="38"/>
      <x:c r="E44" s="540" t="n">
        <x:v>1</x:v>
      </x:c>
      <x:c r="F44" s="540" t="n">
        <x:v>1</x:v>
      </x:c>
      <x:c r="G44" s="540" t="n">
        <x:v>0</x:v>
      </x:c>
      <x:c r="H44" s="540" t="n">
        <x:v>0</x:v>
      </x:c>
      <x:c r="I44" s="540" t="n">
        <x:v>0</x:v>
      </x:c>
      <x:c r="J44" s="540" t="n">
        <x:v>0</x:v>
      </x:c>
      <x:c r="K44" s="540" t="n">
        <x:v>2</x:v>
      </x:c>
      <x:c r="L44" s="38"/>
    </x:row>
    <x:row r="45" s="14" customFormat="1">
      <x:c r="A45" s="38" t="str">
        <x:v>서부</x:v>
      </x:c>
      <x:c r="B45" s="38" t="str">
        <x:v>하중지구 한신공영</x:v>
      </x:c>
      <x:c r="C45" s="38" t="str">
        <x:v>(주)신화중공업</x:v>
      </x:c>
      <x:c r="D45" s="38"/>
      <x:c r="E45" s="540" t="n">
        <x:v>1</x:v>
      </x:c>
      <x:c r="F45" s="540" t="n">
        <x:v>1</x:v>
      </x:c>
      <x:c r="G45" s="540" t="n">
        <x:v>0</x:v>
      </x:c>
      <x:c r="H45" s="540" t="n">
        <x:v>0</x:v>
      </x:c>
      <x:c r="I45" s="540" t="n">
        <x:v>2</x:v>
      </x:c>
      <x:c r="J45" s="540" t="n">
        <x:v>0</x:v>
      </x:c>
      <x:c r="K45" s="540" t="n">
        <x:v>4</x:v>
      </x:c>
      <x:c r="L45" s="38"/>
    </x:row>
    <x:row r="46" s="14" customFormat="1" ht="17.25">
      <x:c r="A46" s="83" t="str">
        <x:v>서부</x:v>
      </x:c>
      <x:c r="B46" s="84" t="str">
        <x:v>하중지구 양우건설</x:v>
      </x:c>
      <x:c r="C46" s="84" t="str">
        <x:v>(주)진성타워</x:v>
      </x:c>
      <x:c r="D46" s="84"/>
      <x:c r="E46" s="545" t="n">
        <x:v>0</x:v>
      </x:c>
      <x:c r="F46" s="545" t="n">
        <x:v>2</x:v>
      </x:c>
      <x:c r="G46" s="545" t="n">
        <x:v>0</x:v>
      </x:c>
      <x:c r="H46" s="545" t="n">
        <x:v>0</x:v>
      </x:c>
      <x:c r="I46" s="545" t="n">
        <x:v>1</x:v>
      </x:c>
      <x:c r="J46" s="545" t="n">
        <x:v>0</x:v>
      </x:c>
      <x:c r="K46" s="545" t="n">
        <x:v>3</x:v>
      </x:c>
      <x:c r="L46" s="84"/>
    </x:row>
    <x:row r="47" ht="17.25">
      <x:c r="A47" s="43" t="str">
        <x:v>서부</x:v>
      </x:c>
      <x:c r="B47" s="38" t="str">
        <x:v>시흥거모지구 S-2BL,B-2BL(대방산업개발)</x:v>
      </x:c>
      <x:c r="C47" s="38" t="str">
        <x:v>주식회사 우정타워</x:v>
      </x:c>
      <x:c r="D47" s="38"/>
      <x:c r="E47" s="552" t="n">
        <x:v>1</x:v>
      </x:c>
      <x:c r="F47" s="552" t="n">
        <x:v>2</x:v>
      </x:c>
      <x:c r="G47" s="552" t="n">
        <x:v>0</x:v>
      </x:c>
      <x:c r="H47" s="552" t="n">
        <x:v>0</x:v>
      </x:c>
      <x:c r="I47" s="552" t="n">
        <x:v>2</x:v>
      </x:c>
      <x:c r="J47" s="552" t="n">
        <x:v>0</x:v>
      </x:c>
      <x:c r="K47" s="553" t="n">
        <x:v>5</x:v>
      </x:c>
      <x:c r="L47" s="38"/>
    </x:row>
    <x:row r="48">
      <x:c r="A48" s="108" t="str">
        <x:v>서부</x:v>
      </x:c>
      <x:c r="B48" s="108" t="str">
        <x:v>배곧서울대학교병원</x:v>
      </x:c>
      <x:c r="C48" s="108" t="str">
        <x:v>(주)타워링</x:v>
      </x:c>
      <x:c r="D48" s="108"/>
      <x:c r="E48" s="545" t="n">
        <x:v>1</x:v>
      </x:c>
      <x:c r="F48" s="545" t="n">
        <x:v>1</x:v>
      </x:c>
      <x:c r="G48" s="545" t="n">
        <x:v>0</x:v>
      </x:c>
      <x:c r="H48" s="545" t="n">
        <x:v>0</x:v>
      </x:c>
      <x:c r="I48" s="545" t="n">
        <x:v>0</x:v>
      </x:c>
      <x:c r="J48" s="545" t="n">
        <x:v>0</x:v>
      </x:c>
      <x:c r="K48" s="554" t="n">
        <x:v>2</x:v>
      </x:c>
      <x:c r="L48" s="111"/>
    </x:row>
    <x:row r="49" s="14" customFormat="1" ht="17.25">
      <x:c r="A49" s="115" t="str">
        <x:v>서부</x:v>
      </x:c>
      <x:c r="B49" s="115" t="str">
        <x:v>시흥하중 A-1BL 공동주택 건설공사</x:v>
      </x:c>
      <x:c r="C49" s="115" t="str">
        <x:v>(주)규람타워렌탈</x:v>
      </x:c>
      <x:c r="D49" s="121"/>
      <x:c r="E49" s="537" t="n">
        <x:v>1</x:v>
      </x:c>
      <x:c r="F49" s="537" t="n">
        <x:v>2</x:v>
      </x:c>
      <x:c r="G49" s="537" t="n">
        <x:v>1</x:v>
      </x:c>
      <x:c r="H49" s="537" t="n">
        <x:v>0</x:v>
      </x:c>
      <x:c r="I49" s="537" t="n">
        <x:v>0</x:v>
      </x:c>
      <x:c r="J49" s="537" t="n">
        <x:v>0</x:v>
      </x:c>
      <x:c r="K49" s="548" t="n">
        <x:v>4</x:v>
      </x:c>
      <x:c r="L49" s="118"/>
    </x:row>
    <x:row r="50">
      <x:c r="A50" s="151" t="str">
        <x:v>서부</x:v>
      </x:c>
      <x:c r="B50" s="151" t="str">
        <x:v>시흥시 거모지구 B-1블록 공동주택 신축공사</x:v>
      </x:c>
      <x:c r="C50" s="151" t="str">
        <x:v>주식회사 필웍스</x:v>
      </x:c>
      <x:c r="D50" s="155"/>
      <x:c r="E50" s="551" t="n">
        <x:v>1</x:v>
      </x:c>
      <x:c r="F50" s="551" t="n">
        <x:v>2</x:v>
      </x:c>
      <x:c r="G50" s="551" t="n">
        <x:v>1</x:v>
      </x:c>
      <x:c r="H50" s="551" t="n">
        <x:v>0</x:v>
      </x:c>
      <x:c r="I50" s="551" t="n">
        <x:v>0</x:v>
      </x:c>
      <x:c r="J50" s="551" t="n">
        <x:v>0</x:v>
      </x:c>
      <x:c r="K50" s="539" t="n">
        <x:v>4</x:v>
      </x:c>
      <x:c r="L50" s="119"/>
    </x:row>
    <x:row r="51" ht="29.25">
      <x:c r="A51" s="154" t="str">
        <x:v>서부</x:v>
      </x:c>
      <x:c r="B51" s="154" t="str">
        <x:v>시흥거모 B-6BL 모아엘가&amp;대광로제비앙 공동주택 신축공사</x:v>
      </x:c>
      <x:c r="C51" s="154" t="str">
        <x:v>(주)금강건기</x:v>
      </x:c>
      <x:c r="D51" s="156"/>
      <x:c r="E51" s="555" t="n">
        <x:v>1</x:v>
      </x:c>
      <x:c r="F51" s="555" t="n">
        <x:v>2</x:v>
      </x:c>
      <x:c r="G51" s="555" t="n">
        <x:v>0</x:v>
      </x:c>
      <x:c r="H51" s="555" t="n">
        <x:v>0</x:v>
      </x:c>
      <x:c r="I51" s="555" t="n">
        <x:v>1</x:v>
      </x:c>
      <x:c r="J51" s="555" t="n">
        <x:v>0</x:v>
      </x:c>
      <x:c r="K51" s="543" t="n">
        <x:v>4</x:v>
      </x:c>
      <x:c r="L51" s="82"/>
    </x:row>
    <x:row r="52">
      <x:c r="A52" s="43" t="str">
        <x:v>서부</x:v>
      </x:c>
      <x:c r="B52" s="43" t="str">
        <x:v>시화MTV 지하주차장</x:v>
      </x:c>
      <x:c r="C52" s="43" t="str">
        <x:v>(주)우리기계산업</x:v>
      </x:c>
      <x:c r="D52" s="43"/>
      <x:c r="E52" s="542" t="n">
        <x:v>1</x:v>
      </x:c>
      <x:c r="F52" s="542" t="n">
        <x:v>1</x:v>
      </x:c>
      <x:c r="G52" s="542" t="n">
        <x:v>0</x:v>
      </x:c>
      <x:c r="H52" s="542" t="n">
        <x:v>1</x:v>
      </x:c>
      <x:c r="I52" s="542" t="n">
        <x:v>0</x:v>
      </x:c>
      <x:c r="J52" s="542" t="n">
        <x:v>0</x:v>
      </x:c>
      <x:c r="K52" s="543" t="n">
        <x:f>SUM(E52:J52)</x:f>
        <x:v>3</x:v>
      </x:c>
      <x:c r="L52" s="82" t="str">
        <x:v>원청사: 강산건설(주)</x:v>
      </x:c>
    </x:row>
    <x:row r="53">
      <x:c r="A53" s="43" t="str">
        <x:v>서부지부 소계</x:v>
      </x:c>
      <x:c r="B53" s="43"/>
      <x:c r="C53" s="43"/>
      <x:c r="D53" s="43"/>
      <x:c r="E53" s="542" t="n">
        <x:f>SUM(E43:E52)</x:f>
        <x:v>9</x:v>
      </x:c>
      <x:c r="F53" s="542" t="n">
        <x:f>SUM(F43:F52)</x:f>
        <x:v>15</x:v>
      </x:c>
      <x:c r="G53" s="542" t="n">
        <x:f>SUM(G43:G52)</x:f>
        <x:v>2</x:v>
      </x:c>
      <x:c r="H53" s="542" t="n">
        <x:f>SUM(H43:H52)</x:f>
        <x:v>1</x:v>
      </x:c>
      <x:c r="I53" s="542" t="n">
        <x:f>SUM(I43:I52)</x:f>
        <x:v>6</x:v>
      </x:c>
      <x:c r="J53" s="542" t="n">
        <x:f>SUM(J43:J52)</x:f>
        <x:v>0</x:v>
      </x:c>
      <x:c r="K53" s="543" t="n">
        <x:f>SUM(K43:K52)</x:f>
        <x:v>33</x:v>
      </x:c>
      <x:c r="L53" s="82"/>
    </x:row>
    <x:row r="54">
      <x:c r="A54" s="43" t="str">
        <x:v>소계퍼센테이지</x:v>
      </x:c>
      <x:c r="B54" s="43"/>
      <x:c r="C54" s="43"/>
      <x:c r="D54" s="43"/>
      <x:c r="E54" s="102" t="n">
        <x:f>IF($K$53=0,0,E53/$K$53)</x:f>
        <x:v>0.2727272727272727</x:v>
      </x:c>
      <x:c r="F54" s="102" t="n">
        <x:f>IF($K$53=0,0,F53/$K$53)</x:f>
        <x:v>0.45454545454545453</x:v>
      </x:c>
      <x:c r="G54" s="102" t="n">
        <x:f>IF($K$53=0,0,G53/$K$53)</x:f>
        <x:v>0.06060606060606061</x:v>
      </x:c>
      <x:c r="H54" s="102" t="n">
        <x:f>IF($K$53=0,0,H53/$K$53)</x:f>
        <x:v>0.030303030303030304</x:v>
      </x:c>
      <x:c r="I54" s="102" t="n">
        <x:f>IF($K$53=0,0,I53/$K$53)</x:f>
        <x:v>0.18181818181818182</x:v>
      </x:c>
      <x:c r="J54" s="102" t="n">
        <x:f>IF($K$53=0,0,J53/$K$53)</x:f>
        <x:v>0</x:v>
      </x:c>
      <x:c r="K54" s="103" t="n">
        <x:f>IF($K$53=0,0,K53/$K$53)</x:f>
        <x:v>1</x:v>
      </x:c>
      <x:c r="L54" s="82"/>
    </x:row>
    <x:row r="55">
      <x:c r="A55" s="43" t="str">
        <x:v>북서</x:v>
      </x:c>
      <x:c r="B55" s="43" t="str">
        <x:v>군포시 SGC건설</x:v>
      </x:c>
      <x:c r="C55" s="43" t="str">
        <x:v>(주)한백산업</x:v>
      </x:c>
      <x:c r="D55" s="43"/>
      <x:c r="E55" s="542" t="n">
        <x:v>2</x:v>
      </x:c>
      <x:c r="F55" s="542" t="n">
        <x:v>3</x:v>
      </x:c>
      <x:c r="G55" s="542" t="n">
        <x:v>1</x:v>
      </x:c>
      <x:c r="H55" s="542" t="n">
        <x:v>0</x:v>
      </x:c>
      <x:c r="I55" s="542" t="n">
        <x:v>1</x:v>
      </x:c>
      <x:c r="J55" s="542" t="n">
        <x:v>0</x:v>
      </x:c>
      <x:c r="K55" s="543" t="n">
        <x:v>7</x:v>
      </x:c>
      <x:c r="L55" s="82"/>
    </x:row>
    <x:row r="56" s="14" customFormat="1" ht="17.25">
      <x:c r="A56" s="43" t="str">
        <x:v>북서</x:v>
      </x:c>
      <x:c r="B56" s="43" t="str">
        <x:v>관양동 DL이앤씨</x:v>
      </x:c>
      <x:c r="C56" s="43" t="str">
        <x:v>(주)한백산업</x:v>
      </x:c>
      <x:c r="D56" s="43"/>
      <x:c r="E56" s="542" t="n">
        <x:v>2</x:v>
      </x:c>
      <x:c r="F56" s="542" t="n">
        <x:v>3</x:v>
      </x:c>
      <x:c r="G56" s="542" t="n">
        <x:v>0</x:v>
      </x:c>
      <x:c r="H56" s="542" t="n">
        <x:v>0</x:v>
      </x:c>
      <x:c r="I56" s="542" t="n">
        <x:v>1</x:v>
      </x:c>
      <x:c r="J56" s="542" t="n">
        <x:v>0</x:v>
      </x:c>
      <x:c r="K56" s="543" t="n">
        <x:v>6</x:v>
      </x:c>
      <x:c r="L56" s="38"/>
    </x:row>
    <x:row r="57" s="14" customFormat="1">
      <x:c r="A57" s="89" t="str">
        <x:v>북서</x:v>
      </x:c>
      <x:c r="B57" s="89" t="str">
        <x:v>관양동 DL이앤씨</x:v>
      </x:c>
      <x:c r="C57" s="89" t="str">
        <x:v>벽산중기산업주식회사</x:v>
      </x:c>
      <x:c r="D57" s="70"/>
      <x:c r="E57" s="556" t="n">
        <x:v>1</x:v>
      </x:c>
      <x:c r="F57" s="556" t="n">
        <x:v>1</x:v>
      </x:c>
      <x:c r="G57" s="556" t="n">
        <x:v>0</x:v>
      </x:c>
      <x:c r="H57" s="556" t="n">
        <x:v>0</x:v>
      </x:c>
      <x:c r="I57" s="556" t="n">
        <x:v>0</x:v>
      </x:c>
      <x:c r="J57" s="556" t="n">
        <x:v>0</x:v>
      </x:c>
      <x:c r="K57" s="556" t="n">
        <x:v>2</x:v>
      </x:c>
      <x:c r="L57" s="70"/>
    </x:row>
    <x:row r="58" s="14" customFormat="1" ht="17.25">
      <x:c r="A58" s="83" t="str">
        <x:v>북서</x:v>
      </x:c>
      <x:c r="B58" s="84" t="str">
        <x:v>의왕청계 시티건설</x:v>
      </x:c>
      <x:c r="C58" s="84" t="str">
        <x:v>주식회사 우정타워</x:v>
      </x:c>
      <x:c r="D58" s="84"/>
      <x:c r="E58" s="545" t="n">
        <x:v>1</x:v>
      </x:c>
      <x:c r="F58" s="545" t="n">
        <x:v>1</x:v>
      </x:c>
      <x:c r="G58" s="545" t="n">
        <x:v>0</x:v>
      </x:c>
      <x:c r="H58" s="545" t="n">
        <x:v>0</x:v>
      </x:c>
      <x:c r="I58" s="545" t="n">
        <x:v>0</x:v>
      </x:c>
      <x:c r="J58" s="545" t="n">
        <x:v>0</x:v>
      </x:c>
      <x:c r="K58" s="545" t="n">
        <x:v>2</x:v>
      </x:c>
      <x:c r="L58" s="84"/>
    </x:row>
    <x:row r="59" ht="17.25">
      <x:c r="A59" s="43" t="str">
        <x:v>북서</x:v>
      </x:c>
      <x:c r="B59" s="38" t="str">
        <x:v>과천 태왕</x:v>
      </x:c>
      <x:c r="C59" s="38" t="str">
        <x:v>주식회사 비엠케이</x:v>
      </x:c>
      <x:c r="D59" s="38"/>
      <x:c r="E59" s="552" t="n">
        <x:v>1</x:v>
      </x:c>
      <x:c r="F59" s="552" t="n">
        <x:v>2</x:v>
      </x:c>
      <x:c r="G59" s="552" t="n">
        <x:v>1</x:v>
      </x:c>
      <x:c r="H59" s="552" t="n">
        <x:v>1</x:v>
      </x:c>
      <x:c r="I59" s="552" t="n">
        <x:v>1</x:v>
      </x:c>
      <x:c r="J59" s="552" t="n">
        <x:v>0</x:v>
      </x:c>
      <x:c r="K59" s="553" t="n">
        <x:v>6</x:v>
      </x:c>
      <x:c r="L59" s="38"/>
    </x:row>
    <x:row r="60" s="14" customFormat="1" ht="17.25">
      <x:c r="A60" s="108" t="str">
        <x:v>북서</x:v>
      </x:c>
      <x:c r="B60" s="108" t="str">
        <x:v>과천 주암동 디에이치 아델스타(현대건설)</x:v>
      </x:c>
      <x:c r="C60" s="108" t="str">
        <x:v>(주)국영타워랜드</x:v>
      </x:c>
      <x:c r="D60" s="108"/>
      <x:c r="E60" s="545" t="n">
        <x:v>1</x:v>
      </x:c>
      <x:c r="F60" s="545" t="n">
        <x:v>3</x:v>
      </x:c>
      <x:c r="G60" s="545" t="n">
        <x:v>0</x:v>
      </x:c>
      <x:c r="H60" s="545" t="n">
        <x:v>0</x:v>
      </x:c>
      <x:c r="I60" s="545" t="n">
        <x:v>1</x:v>
      </x:c>
      <x:c r="J60" s="545" t="n">
        <x:v>0</x:v>
      </x:c>
      <x:c r="K60" s="554" t="n">
        <x:v>5</x:v>
      </x:c>
      <x:c r="L60" s="111"/>
    </x:row>
    <x:row r="61" s="14" customFormat="1" ht="17.25">
      <x:c r="A61" s="115" t="str">
        <x:v>북서</x:v>
      </x:c>
      <x:c r="B61" s="115" t="str">
        <x:v>안양 샘병원</x:v>
      </x:c>
      <x:c r="C61" s="115" t="str">
        <x:v>주식회사 가람타워</x:v>
      </x:c>
      <x:c r="D61" s="115"/>
      <x:c r="E61" s="537" t="n">
        <x:v>1</x:v>
      </x:c>
      <x:c r="F61" s="537" t="n">
        <x:v>0</x:v>
      </x:c>
      <x:c r="G61" s="537" t="n">
        <x:v>0</x:v>
      </x:c>
      <x:c r="H61" s="537" t="n">
        <x:v>0</x:v>
      </x:c>
      <x:c r="I61" s="537" t="n">
        <x:v>0</x:v>
      </x:c>
      <x:c r="J61" s="537" t="n">
        <x:v>0</x:v>
      </x:c>
      <x:c r="K61" s="548" t="n">
        <x:v>1</x:v>
      </x:c>
      <x:c r="L61" s="118"/>
    </x:row>
    <x:row r="62" s="14" customFormat="1" ht="17.25">
      <x:c r="A62" s="151" t="str">
        <x:v>북서</x:v>
      </x:c>
      <x:c r="B62" s="151" t="str">
        <x:v>안양 박달동 신안아파트 재건축(현대산업개발)</x:v>
      </x:c>
      <x:c r="C62" s="151" t="str">
        <x:v>주식회사 비엠케이</x:v>
      </x:c>
      <x:c r="D62" s="151"/>
      <x:c r="E62" s="551" t="n">
        <x:v>1</x:v>
      </x:c>
      <x:c r="F62" s="551" t="n">
        <x:v>2</x:v>
      </x:c>
      <x:c r="G62" s="551" t="n">
        <x:v>0</x:v>
      </x:c>
      <x:c r="H62" s="551" t="n">
        <x:v>0</x:v>
      </x:c>
      <x:c r="I62" s="551" t="n">
        <x:v>1</x:v>
      </x:c>
      <x:c r="J62" s="551" t="n">
        <x:v>0</x:v>
      </x:c>
      <x:c r="K62" s="539" t="n">
        <x:v>4</x:v>
      </x:c>
      <x:c r="L62" s="119"/>
    </x:row>
    <x:row r="63">
      <x:c r="A63" s="157" t="str">
        <x:v>북서</x:v>
      </x:c>
      <x:c r="B63" s="157" t="str">
        <x:v>안양역세권지구 재개발정비사업(현대산업개발)</x:v>
      </x:c>
      <x:c r="C63" s="157" t="str">
        <x:v>오투기계산업(주)</x:v>
      </x:c>
      <x:c r="D63" s="156"/>
      <x:c r="E63" s="555" t="n">
        <x:v>1</x:v>
      </x:c>
      <x:c r="F63" s="555" t="n">
        <x:v>2</x:v>
      </x:c>
      <x:c r="G63" s="555" t="n">
        <x:v>0</x:v>
      </x:c>
      <x:c r="H63" s="555" t="n">
        <x:v>0</x:v>
      </x:c>
      <x:c r="I63" s="555" t="n">
        <x:v>1</x:v>
      </x:c>
      <x:c r="J63" s="555" t="n">
        <x:v>0</x:v>
      </x:c>
      <x:c r="K63" s="543" t="n">
        <x:v>4</x:v>
      </x:c>
      <x:c r="L63" s="87"/>
    </x:row>
    <x:row r="64">
      <x:c r="A64" s="43" t="str">
        <x:v>북서</x:v>
      </x:c>
      <x:c r="B64" s="43" t="str">
        <x:v>관양동 오피스텔 신축공사</x:v>
      </x:c>
      <x:c r="C64" s="43" t="str">
        <x:v>(주)유건설 (단종계약)</x:v>
      </x:c>
      <x:c r="D64" s="88"/>
      <x:c r="E64" s="542" t="n">
        <x:v>1</x:v>
      </x:c>
      <x:c r="F64" s="542" t="n">
        <x:v>0</x:v>
      </x:c>
      <x:c r="G64" s="542" t="n">
        <x:v>0</x:v>
      </x:c>
      <x:c r="H64" s="542" t="n">
        <x:v>0</x:v>
      </x:c>
      <x:c r="I64" s="542" t="n">
        <x:v>0</x:v>
      </x:c>
      <x:c r="J64" s="542" t="n">
        <x:v>0</x:v>
      </x:c>
      <x:c r="K64" s="543" t="n">
        <x:f>SUM(E64:J64)</x:f>
        <x:v>1</x:v>
      </x:c>
      <x:c r="L64" s="82"/>
    </x:row>
    <x:row r="65">
      <x:c r="A65" s="43" t="str">
        <x:v>북서지부 소계</x:v>
      </x:c>
      <x:c r="B65" s="43"/>
      <x:c r="C65" s="43"/>
      <x:c r="D65" s="43"/>
      <x:c r="E65" s="542" t="n">
        <x:f>SUM(E55:E64)</x:f>
        <x:v>12</x:v>
      </x:c>
      <x:c r="F65" s="542" t="n">
        <x:f>SUM(F55:F64)</x:f>
        <x:v>17</x:v>
      </x:c>
      <x:c r="G65" s="542" t="n">
        <x:f>SUM(G55:G64)</x:f>
        <x:v>2</x:v>
      </x:c>
      <x:c r="H65" s="542" t="n">
        <x:f>SUM(H55:H64)</x:f>
        <x:v>1</x:v>
      </x:c>
      <x:c r="I65" s="542" t="n">
        <x:f>SUM(I55:I64)</x:f>
        <x:v>6</x:v>
      </x:c>
      <x:c r="J65" s="542" t="n">
        <x:f>SUM(J55:J64)</x:f>
        <x:v>0</x:v>
      </x:c>
      <x:c r="K65" s="543" t="n">
        <x:f>SUM(K55:K64)</x:f>
        <x:v>38</x:v>
      </x:c>
      <x:c r="L65" s="82"/>
    </x:row>
    <x:row r="66" s="14" customFormat="1" ht="17.25">
      <x:c r="A66" s="43" t="str">
        <x:v>소계퍼센테이지</x:v>
      </x:c>
      <x:c r="B66" s="43"/>
      <x:c r="C66" s="43"/>
      <x:c r="D66" s="43"/>
      <x:c r="E66" s="102" t="n">
        <x:f>IF($K$65=0,0,E65/$K$65)</x:f>
        <x:v>0.3157894736842105</x:v>
      </x:c>
      <x:c r="F66" s="102" t="n">
        <x:f>IF($K$65=0,0,F65/$K$65)</x:f>
        <x:v>0.4473684210526316</x:v>
      </x:c>
      <x:c r="G66" s="102" t="n">
        <x:f>IF($K$65=0,0,G65/$K$65)</x:f>
        <x:v>0.05263157894736842</x:v>
      </x:c>
      <x:c r="H66" s="102" t="n">
        <x:f>IF($K$65=0,0,H65/$K$65)</x:f>
        <x:v>0.02631578947368421</x:v>
      </x:c>
      <x:c r="I66" s="102" t="n">
        <x:f>IF($K$65=0,0,I65/$K$65)</x:f>
        <x:v>0.15789473684210525</x:v>
      </x:c>
      <x:c r="J66" s="102" t="n">
        <x:f>IF($K$65=0,0,J65/$K$65)</x:f>
        <x:v>0</x:v>
      </x:c>
      <x:c r="K66" s="103" t="n">
        <x:f>IF($K$65=0,0,K65/$K$65)</x:f>
        <x:v>1</x:v>
      </x:c>
      <x:c r="L66" s="38"/>
    </x:row>
    <x:row r="67" s="14" customFormat="1" ht="17.25">
      <x:c r="A67" s="43" t="str">
        <x:v>용인</x:v>
      </x:c>
      <x:c r="B67" s="43" t="str">
        <x:v>양지 대우 원클러스터</x:v>
      </x:c>
      <x:c r="C67" s="43" t="str">
        <x:v>(주)규람타워렌탈</x:v>
      </x:c>
      <x:c r="D67" s="43"/>
      <x:c r="E67" s="542" t="n">
        <x:v>1</x:v>
      </x:c>
      <x:c r="F67" s="542" t="n">
        <x:v>2</x:v>
      </x:c>
      <x:c r="G67" s="542" t="n">
        <x:v>0</x:v>
      </x:c>
      <x:c r="H67" s="542" t="n">
        <x:v>0</x:v>
      </x:c>
      <x:c r="I67" s="542" t="n">
        <x:v>1</x:v>
      </x:c>
      <x:c r="J67" s="542" t="n">
        <x:v>0</x:v>
      </x:c>
      <x:c r="K67" s="543" t="n">
        <x:v>4</x:v>
      </x:c>
      <x:c r="L67" s="38"/>
    </x:row>
    <x:row r="68" s="14" customFormat="1" ht="17.25">
      <x:c r="A68" s="43" t="str">
        <x:v>용인</x:v>
      </x:c>
      <x:c r="B68" s="43" t="str">
        <x:v>양지 SM경남 아너스빌</x:v>
      </x:c>
      <x:c r="C68" s="43" t="str">
        <x:v>주식회사 비엠케이</x:v>
      </x:c>
      <x:c r="D68" s="43"/>
      <x:c r="E68" s="542" t="n">
        <x:v>2</x:v>
      </x:c>
      <x:c r="F68" s="542" t="n">
        <x:v>1</x:v>
      </x:c>
      <x:c r="G68" s="542" t="n">
        <x:v>0</x:v>
      </x:c>
      <x:c r="H68" s="542" t="n">
        <x:v>1</x:v>
      </x:c>
      <x:c r="I68" s="542" t="n">
        <x:v>0</x:v>
      </x:c>
      <x:c r="J68" s="542" t="n">
        <x:v>0</x:v>
      </x:c>
      <x:c r="K68" s="543" t="n">
        <x:v>4</x:v>
      </x:c>
      <x:c r="L68" s="38"/>
    </x:row>
    <x:row r="69" s="14" customFormat="1">
      <x:c r="A69" s="38" t="str">
        <x:v>용인</x:v>
      </x:c>
      <x:c r="B69" s="38" t="str">
        <x:v>역북 푸르지오 클루센트(대우건설)</x:v>
      </x:c>
      <x:c r="C69" s="38" t="str">
        <x:v>벽산중기산업주식회사</x:v>
      </x:c>
      <x:c r="D69" s="38"/>
      <x:c r="E69" s="540" t="n">
        <x:v>1</x:v>
      </x:c>
      <x:c r="F69" s="540" t="n">
        <x:v>2</x:v>
      </x:c>
      <x:c r="G69" s="540" t="n">
        <x:v>0</x:v>
      </x:c>
      <x:c r="H69" s="540" t="n">
        <x:v>0</x:v>
      </x:c>
      <x:c r="I69" s="540" t="n">
        <x:v>1</x:v>
      </x:c>
      <x:c r="J69" s="540" t="n">
        <x:v>0</x:v>
      </x:c>
      <x:c r="K69" s="540" t="n">
        <x:v>4</x:v>
      </x:c>
      <x:c r="L69" s="38"/>
    </x:row>
    <x:row r="70" s="14" customFormat="1">
      <x:c r="A70" s="90" t="str">
        <x:v>용인</x:v>
      </x:c>
      <x:c r="B70" s="90" t="str">
        <x:v>고림 대광로제비앙</x:v>
      </x:c>
      <x:c r="C70" s="90" t="str">
        <x:v>주식회사 현성건설</x:v>
      </x:c>
      <x:c r="D70" s="90" t="str">
        <x:v>현성</x:v>
      </x:c>
      <x:c r="E70" s="557" t="n">
        <x:v>0</x:v>
      </x:c>
      <x:c r="F70" s="557" t="n">
        <x:v>3</x:v>
      </x:c>
      <x:c r="G70" s="557" t="n">
        <x:v>0</x:v>
      </x:c>
      <x:c r="H70" s="557" t="n">
        <x:v>1</x:v>
      </x:c>
      <x:c r="I70" s="557" t="n">
        <x:v>1</x:v>
      </x:c>
      <x:c r="J70" s="557" t="n">
        <x:v>0</x:v>
      </x:c>
      <x:c r="K70" s="557" t="n">
        <x:v>0</x:v>
      </x:c>
      <x:c r="L70" s="90" t="str">
        <x:v>통계제외</x:v>
      </x:c>
    </x:row>
    <x:row r="71" s="14" customFormat="1" ht="17.25">
      <x:c r="A71" s="69" t="str">
        <x:v>용인</x:v>
      </x:c>
      <x:c r="B71" s="69" t="str">
        <x:v>백암 오뚜기물류센타</x:v>
      </x:c>
      <x:c r="C71" s="69" t="str">
        <x:v>주식회사 가람타워</x:v>
      </x:c>
      <x:c r="D71" s="69"/>
      <x:c r="E71" s="534" t="n">
        <x:v>0</x:v>
      </x:c>
      <x:c r="F71" s="534" t="n">
        <x:v>1</x:v>
      </x:c>
      <x:c r="G71" s="534" t="n">
        <x:v>0</x:v>
      </x:c>
      <x:c r="H71" s="534" t="n">
        <x:v>1</x:v>
      </x:c>
      <x:c r="I71" s="534" t="n">
        <x:v>0</x:v>
      </x:c>
      <x:c r="J71" s="534" t="n">
        <x:v>0</x:v>
      </x:c>
      <x:c r="K71" s="534" t="n">
        <x:v>2</x:v>
      </x:c>
      <x:c r="L71" s="69"/>
    </x:row>
    <x:row r="72" s="14" customFormat="1" ht="17.25">
      <x:c r="A72" s="91" t="str">
        <x:v>용인</x:v>
      </x:c>
      <x:c r="B72" s="91" t="str">
        <x:v>마평동 여성복지회관</x:v>
      </x:c>
      <x:c r="C72" s="91" t="str">
        <x:v>(주)무기타워렌탈</x:v>
      </x:c>
      <x:c r="D72" s="91"/>
      <x:c r="E72" s="544" t="n">
        <x:v>0</x:v>
      </x:c>
      <x:c r="F72" s="544" t="n">
        <x:v>1</x:v>
      </x:c>
      <x:c r="G72" s="544" t="n">
        <x:v>0</x:v>
      </x:c>
      <x:c r="H72" s="544" t="n">
        <x:v>0</x:v>
      </x:c>
      <x:c r="I72" s="544" t="n">
        <x:v>0</x:v>
      </x:c>
      <x:c r="J72" s="544" t="n">
        <x:v>0</x:v>
      </x:c>
      <x:c r="K72" s="544" t="n">
        <x:v>1</x:v>
      </x:c>
      <x:c r="L72" s="92"/>
    </x:row>
    <x:row r="73">
      <x:c r="A73" s="93" t="str">
        <x:v>용인</x:v>
      </x:c>
      <x:c r="B73" s="93" t="str">
        <x:v>용인 라온프라이빗</x:v>
      </x:c>
      <x:c r="C73" s="93" t="str">
        <x:v>(주)우성건설기계</x:v>
      </x:c>
      <x:c r="D73" s="93"/>
      <x:c r="E73" s="558" t="n">
        <x:v>2</x:v>
      </x:c>
      <x:c r="F73" s="558" t="n">
        <x:v>1</x:v>
      </x:c>
      <x:c r="G73" s="558" t="n">
        <x:v>0</x:v>
      </x:c>
      <x:c r="H73" s="558" t="n">
        <x:v>0</x:v>
      </x:c>
      <x:c r="I73" s="558" t="n">
        <x:v>0</x:v>
      </x:c>
      <x:c r="J73" s="558" t="n">
        <x:v>0</x:v>
      </x:c>
      <x:c r="K73" s="558" t="n">
        <x:v>3</x:v>
      </x:c>
      <x:c r="L73" s="94"/>
    </x:row>
    <x:row r="74">
      <x:c r="A74" s="112" t="str">
        <x:v>용인</x:v>
      </x:c>
      <x:c r="B74" s="112" t="str">
        <x:v>용인덕성 AI데이터센터 신축공사</x:v>
      </x:c>
      <x:c r="C74" s="112" t="str">
        <x:v>(주)타워랜드</x:v>
      </x:c>
      <x:c r="D74" s="112"/>
      <x:c r="E74" s="559" t="n">
        <x:v>1</x:v>
      </x:c>
      <x:c r="F74" s="559" t="n">
        <x:v>2</x:v>
      </x:c>
      <x:c r="G74" s="559" t="n">
        <x:v>1</x:v>
      </x:c>
      <x:c r="H74" s="559" t="n">
        <x:v>0</x:v>
      </x:c>
      <x:c r="I74" s="559" t="n">
        <x:v>0</x:v>
      </x:c>
      <x:c r="J74" s="559" t="n">
        <x:v>0</x:v>
      </x:c>
      <x:c r="K74" s="559" t="n">
        <x:v>4</x:v>
      </x:c>
      <x:c r="L74" s="113"/>
    </x:row>
    <x:row r="75" s="14" customFormat="1">
      <x:c r="A75" s="122" t="str">
        <x:v>용인</x:v>
      </x:c>
      <x:c r="B75" s="122" t="str">
        <x:v>용인클러스터 상생협력시설(기숙사 1차)</x:v>
      </x:c>
      <x:c r="C75" s="122" t="str">
        <x:v>(주)규람타워렌탈</x:v>
      </x:c>
      <x:c r="D75" s="122" t="str">
        <x:v>원철규(미정3)</x:v>
      </x:c>
      <x:c r="E75" s="560" t="n">
        <x:v>1</x:v>
      </x:c>
      <x:c r="F75" s="560" t="n">
        <x:v>0</x:v>
      </x:c>
      <x:c r="G75" s="560" t="n">
        <x:v>0</x:v>
      </x:c>
      <x:c r="H75" s="560" t="n">
        <x:v>0</x:v>
      </x:c>
      <x:c r="I75" s="560" t="n">
        <x:v>1</x:v>
      </x:c>
      <x:c r="J75" s="560" t="n">
        <x:v>3</x:v>
      </x:c>
      <x:c r="K75" s="560" t="n">
        <x:v>5</x:v>
      </x:c>
      <x:c r="L75" s="123"/>
    </x:row>
    <x:row r="76" s="14" customFormat="1">
      <x:c r="A76" s="158" t="str">
        <x:v>용인</x:v>
      </x:c>
      <x:c r="B76" s="158" t="str">
        <x:v>수지자이에디시온</x:v>
      </x:c>
      <x:c r="C76" s="158" t="str">
        <x:v>(주)한진</x:v>
      </x:c>
      <x:c r="D76" s="158"/>
      <x:c r="E76" s="561" t="n">
        <x:v>1</x:v>
      </x:c>
      <x:c r="F76" s="561" t="n">
        <x:v>1</x:v>
      </x:c>
      <x:c r="G76" s="561" t="n">
        <x:v>0</x:v>
      </x:c>
      <x:c r="H76" s="561" t="n">
        <x:v>0</x:v>
      </x:c>
      <x:c r="I76" s="561" t="n">
        <x:v>1</x:v>
      </x:c>
      <x:c r="J76" s="561" t="n">
        <x:v>0</x:v>
      </x:c>
      <x:c r="K76" s="561" t="n">
        <x:v>3</x:v>
      </x:c>
      <x:c r="L76" s="124"/>
    </x:row>
    <x:row r="77" s="14" customFormat="1">
      <x:c r="A77" s="160" t="str">
        <x:v>용인</x:v>
      </x:c>
      <x:c r="B77" s="160" t="str">
        <x:v>기흥변전소</x:v>
      </x:c>
      <x:c r="C77" s="160" t="str">
        <x:v>(주)대원타워렌탈</x:v>
      </x:c>
      <x:c r="D77" s="160"/>
      <x:c r="E77" s="555" t="n">
        <x:v>0</x:v>
      </x:c>
      <x:c r="F77" s="555" t="n">
        <x:v>0</x:v>
      </x:c>
      <x:c r="G77" s="555" t="n">
        <x:v>0</x:v>
      </x:c>
      <x:c r="H77" s="555" t="n">
        <x:v>0</x:v>
      </x:c>
      <x:c r="I77" s="555" t="n">
        <x:v>1</x:v>
      </x:c>
      <x:c r="J77" s="555" t="n">
        <x:v>0</x:v>
      </x:c>
      <x:c r="K77" s="561" t="n">
        <x:v>1</x:v>
      </x:c>
      <x:c r="L77" s="90"/>
    </x:row>
    <x:row r="78">
      <x:c r="A78" s="69" t="str">
        <x:v>용인</x:v>
      </x:c>
      <x:c r="B78" s="69" t="str">
        <x:v>한양립스</x:v>
      </x:c>
      <x:c r="C78" s="69" t="str">
        <x:v>(주)제이에스글로벌산업</x:v>
      </x:c>
      <x:c r="D78" s="69"/>
      <x:c r="E78" s="534" t="n">
        <x:v>0</x:v>
      </x:c>
      <x:c r="F78" s="534" t="n">
        <x:v>0</x:v>
      </x:c>
      <x:c r="G78" s="534" t="n">
        <x:v>0</x:v>
      </x:c>
      <x:c r="H78" s="534" t="n">
        <x:v>2</x:v>
      </x:c>
      <x:c r="I78" s="534" t="n">
        <x:v>1</x:v>
      </x:c>
      <x:c r="J78" s="534" t="n">
        <x:v>0</x:v>
      </x:c>
      <x:c r="K78" s="534" t="n">
        <x:f>SUM(E78:J78)</x:f>
        <x:v>3</x:v>
      </x:c>
      <x:c r="L78" s="69"/>
    </x:row>
    <x:row r="79">
      <x:c r="A79" s="91" t="str">
        <x:v>용인</x:v>
      </x:c>
      <x:c r="B79" s="91" t="str">
        <x:v>신광교 클라우드 시티 신축공사</x:v>
      </x:c>
      <x:c r="C79" s="91" t="str">
        <x:v>(주)성광엔지니어링</x:v>
      </x:c>
      <x:c r="D79" s="91" t="str">
        <x:v>원청사: 현대엔지니어링(주)</x:v>
      </x:c>
      <x:c r="E79" s="544" t="n">
        <x:v>1</x:v>
      </x:c>
      <x:c r="F79" s="544" t="n">
        <x:v>1</x:v>
      </x:c>
      <x:c r="G79" s="544" t="n">
        <x:v>0</x:v>
      </x:c>
      <x:c r="H79" s="544" t="n">
        <x:v>0</x:v>
      </x:c>
      <x:c r="I79" s="544" t="n">
        <x:v>0</x:v>
      </x:c>
      <x:c r="J79" s="544" t="n">
        <x:v>3</x:v>
      </x:c>
      <x:c r="K79" s="544" t="n">
        <x:f>SUM(E79:J79)</x:f>
        <x:v>5</x:v>
      </x:c>
      <x:c r="L79" s="91" t="str">
        <x:v>2026-10-17 입사 / 현장명 정정 / 총 1→5대 (2026-10-19 명단)</x:v>
      </x:c>
    </x:row>
    <x:row r="80">
      <x:c r="A80" s="93" t="str">
        <x:v>용인지부 소계</x:v>
      </x:c>
      <x:c r="B80" s="93"/>
      <x:c r="C80" s="93"/>
      <x:c r="D80" s="93"/>
      <x:c r="E80" s="558" t="n">
        <x:f>SUM(E67:E69,E71:E79)</x:f>
        <x:v>10</x:v>
      </x:c>
      <x:c r="F80" s="558" t="n">
        <x:f>SUM(F67:F69,F71:F79)</x:f>
        <x:v>12</x:v>
      </x:c>
      <x:c r="G80" s="558" t="n">
        <x:f>SUM(G67:G69,G71:G79)</x:f>
        <x:v>1</x:v>
      </x:c>
      <x:c r="H80" s="558" t="n">
        <x:f>SUM(H67:H69,H71:H79)</x:f>
        <x:v>4</x:v>
      </x:c>
      <x:c r="I80" s="558" t="n">
        <x:f>SUM(I67:I69,I71:I79)</x:f>
        <x:v>6</x:v>
      </x:c>
      <x:c r="J80" s="558" t="n">
        <x:f>SUM(J67:J69,J71:J79)</x:f>
        <x:v>6</x:v>
      </x:c>
      <x:c r="K80" s="558" t="n">
        <x:f>SUM(K67:K69,K71:K79)</x:f>
        <x:v>39</x:v>
      </x:c>
      <x:c r="L80" s="93"/>
    </x:row>
    <x:row r="81">
      <x:c r="A81" s="114" t="str">
        <x:v>소계퍼센테이지</x:v>
      </x:c>
      <x:c r="B81" s="114"/>
      <x:c r="C81" s="114"/>
      <x:c r="D81" s="114"/>
      <x:c r="E81" s="566" t="n">
        <x:f>IF($K$80=0,0,E80/$K$80)</x:f>
        <x:v>0.2564102564102564</x:v>
      </x:c>
      <x:c r="F81" s="566" t="n">
        <x:f>IF($K$80=0,0,F80/$K$80)</x:f>
        <x:v>0.3076923076923077</x:v>
      </x:c>
      <x:c r="G81" s="566" t="n">
        <x:f>IF($K$80=0,0,G80/$K$80)</x:f>
        <x:v>0.02564102564102564</x:v>
      </x:c>
      <x:c r="H81" s="566" t="n">
        <x:f>IF($K$80=0,0,H80/$K$80)</x:f>
        <x:v>0.10256410256410256</x:v>
      </x:c>
      <x:c r="I81" s="566" t="n">
        <x:f>IF($K$80=0,0,I80/$K$80)</x:f>
        <x:v>0.15384615384615385</x:v>
      </x:c>
      <x:c r="J81" s="566" t="n">
        <x:f>IF($K$80=0,0,J80/$K$80)</x:f>
        <x:v>0.15384615384615385</x:v>
      </x:c>
      <x:c r="K81" s="566" t="n">
        <x:f>IF($K$80=0,0,K80/$K$80)</x:f>
        <x:v>1</x:v>
      </x:c>
      <x:c r="L81" s="114"/>
    </x:row>
    <x:row r="82">
      <x:c r="A82" s="125" t="str">
        <x:v>중부</x:v>
      </x:c>
      <x:c r="B82" s="125" t="str">
        <x:v>당수동 한신</x:v>
      </x:c>
      <x:c r="C82" s="125" t="str">
        <x:v>주식회사월드타워</x:v>
      </x:c>
      <x:c r="D82" s="125"/>
      <x:c r="E82" s="562" t="n">
        <x:v>1</x:v>
      </x:c>
      <x:c r="F82" s="562" t="n">
        <x:v>2</x:v>
      </x:c>
      <x:c r="G82" s="562" t="n">
        <x:v>0</x:v>
      </x:c>
      <x:c r="H82" s="562" t="n">
        <x:v>0</x:v>
      </x:c>
      <x:c r="I82" s="562" t="n">
        <x:v>2</x:v>
      </x:c>
      <x:c r="J82" s="562" t="n">
        <x:v>0</x:v>
      </x:c>
      <x:c r="K82" s="562" t="n">
        <x:v>5</x:v>
      </x:c>
      <x:c r="L82" s="125"/>
    </x:row>
    <x:row r="83">
      <x:c r="A83" s="161" t="str">
        <x:v>중부</x:v>
      </x:c>
      <x:c r="B83" s="161" t="str">
        <x:v>당수동 한라</x:v>
      </x:c>
      <x:c r="C83" s="161" t="str">
        <x:v>벽산중기산업주식회사</x:v>
      </x:c>
      <x:c r="D83" s="161"/>
      <x:c r="E83" s="563" t="n">
        <x:v>1</x:v>
      </x:c>
      <x:c r="F83" s="563" t="n">
        <x:v>2</x:v>
      </x:c>
      <x:c r="G83" s="563" t="n">
        <x:v>1</x:v>
      </x:c>
      <x:c r="H83" s="563" t="n">
        <x:v>0</x:v>
      </x:c>
      <x:c r="I83" s="563" t="n">
        <x:v>0</x:v>
      </x:c>
      <x:c r="J83" s="563" t="n">
        <x:v>0</x:v>
      </x:c>
      <x:c r="K83" s="563" t="n">
        <x:v>4</x:v>
      </x:c>
      <x:c r="L83" s="126"/>
    </x:row>
    <x:row r="84">
      <x:c r="A84" s="163" t="str">
        <x:v>중부</x:v>
      </x:c>
      <x:c r="B84" s="163" t="str">
        <x:v>당수동 계룡</x:v>
      </x:c>
      <x:c r="C84" s="163" t="str">
        <x:v>주식회사 화성건기</x:v>
      </x:c>
      <x:c r="D84" s="163"/>
      <x:c r="E84" s="555" t="n">
        <x:v>1</x:v>
      </x:c>
      <x:c r="F84" s="555" t="n">
        <x:v>1</x:v>
      </x:c>
      <x:c r="G84" s="555" t="n">
        <x:v>0</x:v>
      </x:c>
      <x:c r="H84" s="555" t="n">
        <x:v>0</x:v>
      </x:c>
      <x:c r="I84" s="555" t="n">
        <x:v>2</x:v>
      </x:c>
      <x:c r="J84" s="555" t="n">
        <x:v>0</x:v>
      </x:c>
      <x:c r="K84" s="564" t="n">
        <x:v>4</x:v>
      </x:c>
      <x:c r="L84"/>
    </x:row>
    <x:row r="85">
      <x:c r="A85" t="str">
        <x:v>중부</x:v>
      </x:c>
      <x:c r="B85" t="str">
        <x:v>영화동 두산</x:v>
      </x:c>
      <x:c r="C85" t="str">
        <x:v>(주)야후건기</x:v>
      </x:c>
      <x:c r="D85"/>
      <x:c r="E85" s="536" t="n">
        <x:v>1</x:v>
      </x:c>
      <x:c r="F85" s="536" t="n">
        <x:v>1</x:v>
      </x:c>
      <x:c r="G85" s="536" t="n">
        <x:v>0</x:v>
      </x:c>
      <x:c r="H85" s="536" t="n">
        <x:v>0</x:v>
      </x:c>
      <x:c r="I85" s="536" t="n">
        <x:v>1</x:v>
      </x:c>
      <x:c r="J85" s="536" t="n">
        <x:v>0</x:v>
      </x:c>
      <x:c r="K85" s="536" t="n">
        <x:v>3</x:v>
      </x:c>
      <x:c r="L85"/>
    </x:row>
    <x:row r="86">
      <x:c r="A86" t="str">
        <x:v>중부</x:v>
      </x:c>
      <x:c r="B86" t="str">
        <x:v>수원 친환경 에너지 개선공사 주기기 구매</x:v>
      </x:c>
      <x:c r="C86" t="str">
        <x:v>신우개발(주)</x:v>
      </x:c>
      <x:c r="D86"/>
      <x:c r="E86" s="536" t="n">
        <x:v>1</x:v>
      </x:c>
      <x:c r="F86" s="536" t="n">
        <x:v>0</x:v>
      </x:c>
      <x:c r="G86" s="536" t="n">
        <x:v>0</x:v>
      </x:c>
      <x:c r="H86" s="536" t="n">
        <x:v>0</x:v>
      </x:c>
      <x:c r="I86" s="536" t="n">
        <x:v>0</x:v>
      </x:c>
      <x:c r="J86" s="536" t="n">
        <x:v>0</x:v>
      </x:c>
      <x:c r="K86" s="536" t="n">
        <x:f>SUM(E86:J86)</x:f>
        <x:v>1</x:v>
      </x:c>
      <x:c r="L86"/>
    </x:row>
    <x:row r="87">
      <x:c r="A87" t="str">
        <x:v>중부지부 소계</x:v>
      </x:c>
      <x:c r="B87"/>
      <x:c r="C87"/>
      <x:c r="D87"/>
      <x:c r="E87" s="536" t="n">
        <x:f>SUM(E82:E86)</x:f>
        <x:v>5</x:v>
      </x:c>
      <x:c r="F87" s="536" t="n">
        <x:f>SUM(F82:F86)</x:f>
        <x:v>6</x:v>
      </x:c>
      <x:c r="G87" s="536" t="n">
        <x:f>SUM(G82:G86)</x:f>
        <x:v>1</x:v>
      </x:c>
      <x:c r="H87" s="536" t="n">
        <x:f>SUM(H82:H86)</x:f>
        <x:v>0</x:v>
      </x:c>
      <x:c r="I87" s="536" t="n">
        <x:f>SUM(I82:I86)</x:f>
        <x:v>5</x:v>
      </x:c>
      <x:c r="J87" s="536" t="n">
        <x:f>SUM(J82:J86)</x:f>
        <x:v>0</x:v>
      </x:c>
      <x:c r="K87" s="536" t="n">
        <x:f>SUM(K82:K86)</x:f>
        <x:v>17</x:v>
      </x:c>
      <x:c r="L87"/>
    </x:row>
    <x:row r="88">
      <x:c r="A88" t="str">
        <x:v>소계퍼센테이지</x:v>
      </x:c>
      <x:c r="B88"/>
      <x:c r="C88"/>
      <x:c r="D88"/>
      <x:c r="E88" s="95" t="n">
        <x:f>IF($K$87=0,0,E87/$K$87)</x:f>
        <x:v>0.29411764705882354</x:v>
      </x:c>
      <x:c r="F88" s="95" t="n">
        <x:f>IF($K$87=0,0,F87/$K$87)</x:f>
        <x:v>0.35294117647058826</x:v>
      </x:c>
      <x:c r="G88" s="95" t="n">
        <x:f>IF($K$87=0,0,G87/$K$87)</x:f>
        <x:v>0.058823529411764705</x:v>
      </x:c>
      <x:c r="H88" s="95" t="n">
        <x:f>IF($K$87=0,0,H87/$K$87)</x:f>
        <x:v>0</x:v>
      </x:c>
      <x:c r="I88" s="95" t="n">
        <x:f>IF($K$87=0,0,I87/$K$87)</x:f>
        <x:v>0.29411764705882354</x:v>
      </x:c>
      <x:c r="J88" s="95" t="n">
        <x:f>IF($K$87=0,0,J87/$K$87)</x:f>
        <x:v>0</x:v>
      </x:c>
      <x:c r="K88" s="95" t="n">
        <x:f>IF($K$87=0,0,K87/$K$87)</x:f>
        <x:v>1</x:v>
      </x:c>
      <x:c r="L88"/>
    </x:row>
  </x:sheetData>
  <x:mergeCells>
    <x:mergeCell ref="A1:L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6.5"/>
  <x:cols>
    <x:col min="1" max="1" width="14.9765625" style="14" customWidth="1"/>
    <x:col min="2" max="2" width="6.43359375" style="14" customWidth="1"/>
    <x:col min="3" max="9" width="4.82421875" style="14" customWidth="1"/>
    <x:col min="10" max="10" width="8.16796875" style="14" customWidth="1"/>
  </x:cols>
  <x:sheetData>
    <x:row r="1">
      <x:c r="A1" s="187" t="s">
        <x:v>60</x:v>
      </x:c>
      <x:c r="B1" s="188"/>
      <x:c r="C1" s="188"/>
      <x:c r="D1" s="188"/>
      <x:c r="E1" s="188"/>
      <x:c r="F1" s="188"/>
      <x:c r="G1" s="188"/>
      <x:c r="H1" s="188"/>
      <x:c r="I1" s="188"/>
      <x:c r="J1" s="188"/>
    </x:row>
    <x:row r="2" s="14" customFormat="1" ht="21.200000762939453" customHeight="1">
      <x:c r="A2" s="1" t="s">
        <x:v>61</x:v>
      </x:c>
      <x:c r="B2" s="1" t="s">
        <x:v>62</x:v>
      </x:c>
      <x:c r="C2" s="2" t="s">
        <x:v>2</x:v>
      </x:c>
      <x:c r="D2" s="3" t="s">
        <x:v>3</x:v>
      </x:c>
      <x:c r="E2" s="4" t="s">
        <x:v>4</x:v>
      </x:c>
      <x:c r="F2" s="5" t="s">
        <x:v>5</x:v>
      </x:c>
      <x:c r="G2" s="6" t="s">
        <x:v>6</x:v>
      </x:c>
      <x:c r="H2" s="7" t="s">
        <x:v>63</x:v>
      </x:c>
      <x:c r="I2" s="1" t="s">
        <x:v>8</x:v>
      </x:c>
      <x:c r="J2" s="36" t="s">
        <x:v>64</x:v>
      </x:c>
    </x:row>
    <x:row r="3">
      <x:c r="A3" s="12" t="s">
        <x:v>65</x:v>
      </x:c>
      <x:c r="B3" s="11">
        <x:v>3</x:v>
      </x:c>
      <x:c r="C3" s="11">
        <x:v>4</x:v>
      </x:c>
      <x:c r="D3" s="11">
        <x:v>5</x:v>
      </x:c>
      <x:c r="E3" s="11">
        <x:v>1</x:v>
      </x:c>
      <x:c r="F3" s="11">
        <x:v>2</x:v>
      </x:c>
      <x:c r="G3" s="11">
        <x:v>2</x:v>
      </x:c>
      <x:c r="H3" s="11">
        <x:v>0</x:v>
      </x:c>
      <x:c r="I3" s="9">
        <x:v>14</x:v>
      </x:c>
      <x:c r="J3" s="34">
        <x:v>0.28571428571428598</x:v>
      </x:c>
    </x:row>
    <x:row r="4" s="14" customFormat="1" ht="21.200000762939453" customHeight="1">
      <x:c r="A4" s="12" t="s">
        <x:v>66</x:v>
      </x:c>
      <x:c r="B4" s="11">
        <x:v>3</x:v>
      </x:c>
      <x:c r="C4" s="11">
        <x:v>3</x:v>
      </x:c>
      <x:c r="D4" s="11">
        <x:v>5</x:v>
      </x:c>
      <x:c r="E4" s="11">
        <x:v>1</x:v>
      </x:c>
      <x:c r="F4" s="11">
        <x:v>0</x:v>
      </x:c>
      <x:c r="G4" s="11">
        <x:v>1</x:v>
      </x:c>
      <x:c r="H4" s="11">
        <x:v>0</x:v>
      </x:c>
      <x:c r="I4" s="9">
        <x:v>10</x:v>
      </x:c>
      <x:c r="J4" s="96" t="n">
        <x:f>IF(I4=0,0,C4/I4)</x:f>
        <x:v>0.3</x:v>
      </x:c>
    </x:row>
    <x:row r="5">
      <x:c r="A5" s="12" t="s">
        <x:v>49</x:v>
      </x:c>
      <x:c r="B5" s="11">
        <x:v>3</x:v>
      </x:c>
      <x:c r="C5" s="11">
        <x:v>2</x:v>
      </x:c>
      <x:c r="D5" s="11">
        <x:v>5</x:v>
      </x:c>
      <x:c r="E5" s="11">
        <x:v>0</x:v>
      </x:c>
      <x:c r="F5" s="11">
        <x:v>1</x:v>
      </x:c>
      <x:c r="G5" s="11">
        <x:v>3</x:v>
      </x:c>
      <x:c r="H5" s="11">
        <x:v>0</x:v>
      </x:c>
      <x:c r="I5" s="9">
        <x:v>11</x:v>
      </x:c>
      <x:c r="J5" s="34">
        <x:v>0.1818181818181818</x:v>
      </x:c>
    </x:row>
    <x:row r="6">
      <x:c r="A6" s="12" t="s">
        <x:v>31</x:v>
      </x:c>
      <x:c r="B6" s="11">
        <x:v>2</x:v>
      </x:c>
      <x:c r="C6" s="11">
        <x:v>3</x:v>
      </x:c>
      <x:c r="D6" s="11">
        <x:v>5</x:v>
      </x:c>
      <x:c r="E6" s="11">
        <x:v>1</x:v>
      </x:c>
      <x:c r="F6" s="11">
        <x:v>1</x:v>
      </x:c>
      <x:c r="G6" s="11">
        <x:v>1</x:v>
      </x:c>
      <x:c r="H6" s="11">
        <x:v>0</x:v>
      </x:c>
      <x:c r="I6" s="9">
        <x:v>11</x:v>
      </x:c>
      <x:c r="J6" s="34">
        <x:v>0.27272727272727298</x:v>
      </x:c>
    </x:row>
    <x:row r="7">
      <x:c r="A7" s="12" t="s">
        <x:v>29</x:v>
      </x:c>
      <x:c r="B7" s="11">
        <x:v>2</x:v>
      </x:c>
      <x:c r="C7" s="11">
        <x:v>3</x:v>
      </x:c>
      <x:c r="D7" s="11">
        <x:v>6</x:v>
      </x:c>
      <x:c r="E7" s="11">
        <x:v>0</x:v>
      </x:c>
      <x:c r="F7" s="11">
        <x:v>0</x:v>
      </x:c>
      <x:c r="G7" s="11">
        <x:v>3</x:v>
      </x:c>
      <x:c r="H7" s="11">
        <x:v>0</x:v>
      </x:c>
      <x:c r="I7" s="9">
        <x:v>12</x:v>
      </x:c>
      <x:c r="J7" s="34">
        <x:v>0.25</x:v>
      </x:c>
    </x:row>
    <x:row r="8">
      <x:c r="A8" s="12" t="s">
        <x:v>67</x:v>
      </x:c>
      <x:c r="B8" s="11">
        <x:v>2</x:v>
      </x:c>
      <x:c r="C8" s="11">
        <x:v>4</x:v>
      </x:c>
      <x:c r="D8" s="11">
        <x:v>6</x:v>
      </x:c>
      <x:c r="E8" s="11">
        <x:v>1</x:v>
      </x:c>
      <x:c r="F8" s="11">
        <x:v>0</x:v>
      </x:c>
      <x:c r="G8" s="11">
        <x:v>2</x:v>
      </x:c>
      <x:c r="H8" s="11">
        <x:v>0</x:v>
      </x:c>
      <x:c r="I8" s="9">
        <x:v>13</x:v>
      </x:c>
      <x:c r="J8" s="96" t="n">
        <x:f>IF(I8=0,0,C8/I8)</x:f>
        <x:v>0.3076923076923077</x:v>
      </x:c>
    </x:row>
    <x:row r="9">
      <x:c r="A9" s="12" t="s">
        <x:v>43</x:v>
      </x:c>
      <x:c r="B9" s="11">
        <x:v>2</x:v>
      </x:c>
      <x:c r="C9" s="11">
        <x:v>3</x:v>
      </x:c>
      <x:c r="D9" s="11">
        <x:v>4</x:v>
      </x:c>
      <x:c r="E9" s="11">
        <x:v>1</x:v>
      </x:c>
      <x:c r="F9" s="11">
        <x:v>0</x:v>
      </x:c>
      <x:c r="G9" s="11">
        <x:v>1</x:v>
      </x:c>
      <x:c r="H9" s="11">
        <x:v>0</x:v>
      </x:c>
      <x:c r="I9" s="9" t="n">
        <x:f>SUM(C9:H9)</x:f>
        <x:v>9</x:v>
      </x:c>
      <x:c r="J9" s="96" t="n">
        <x:f>IF(I9=0,0,C9/I9)</x:f>
        <x:v>0.3333333333333333</x:v>
      </x:c>
    </x:row>
    <x:row r="10">
      <x:c r="A10" s="12" t="s">
        <x:v>41</x:v>
      </x:c>
      <x:c r="B10" s="11">
        <x:v>2</x:v>
      </x:c>
      <x:c r="C10" s="11">
        <x:v>2</x:v>
      </x:c>
      <x:c r="D10" s="11">
        <x:v>3</x:v>
      </x:c>
      <x:c r="E10" s="11">
        <x:v>0</x:v>
      </x:c>
      <x:c r="F10" s="11">
        <x:v>0</x:v>
      </x:c>
      <x:c r="G10" s="11">
        <x:v>1</x:v>
      </x:c>
      <x:c r="H10" s="11">
        <x:v>0</x:v>
      </x:c>
      <x:c r="I10" s="9">
        <x:v>6</x:v>
      </x:c>
      <x:c r="J10" s="34">
        <x:v>0.33333333333333298</x:v>
      </x:c>
    </x:row>
    <x:row r="11">
      <x:c r="A11" s="12" t="s">
        <x:v>37</x:v>
      </x:c>
      <x:c r="B11" s="11">
        <x:v>2</x:v>
      </x:c>
      <x:c r="C11" s="11">
        <x:v>4</x:v>
      </x:c>
      <x:c r="D11" s="11">
        <x:v>4</x:v>
      </x:c>
      <x:c r="E11" s="11">
        <x:v>0</x:v>
      </x:c>
      <x:c r="F11" s="11">
        <x:v>0</x:v>
      </x:c>
      <x:c r="G11" s="11">
        <x:v>1</x:v>
      </x:c>
      <x:c r="H11" s="11">
        <x:v>0</x:v>
      </x:c>
      <x:c r="I11" s="9">
        <x:v>9</x:v>
      </x:c>
      <x:c r="J11" s="34">
        <x:v>0.44444444444444442</x:v>
      </x:c>
    </x:row>
    <x:row r="12">
      <x:c r="A12" s="12" t="s">
        <x:v>58</x:v>
      </x:c>
      <x:c r="B12" s="128">
        <x:v>2</x:v>
      </x:c>
      <x:c r="C12" s="128">
        <x:v>2</x:v>
      </x:c>
      <x:c r="D12" s="128">
        <x:v>4</x:v>
      </x:c>
      <x:c r="E12" s="128">
        <x:v>0</x:v>
      </x:c>
      <x:c r="F12" s="128">
        <x:v>0</x:v>
      </x:c>
      <x:c r="G12" s="128">
        <x:v>2</x:v>
      </x:c>
      <x:c r="H12" s="128">
        <x:v>0</x:v>
      </x:c>
      <x:c r="I12" s="127">
        <x:v>8</x:v>
      </x:c>
      <x:c r="J12" s="96" t="n">
        <x:f>IF(I12=0,0,C12/I12)</x:f>
        <x:v>0.25</x:v>
      </x:c>
    </x:row>
    <x:row r="13" s="14" customFormat="1" ht="21.200000762939453" customHeight="1">
      <x:c r="A13" s="12" t="s">
        <x:v>33</x:v>
      </x:c>
      <x:c r="B13" s="128">
        <x:v>3</x:v>
      </x:c>
      <x:c r="C13" s="128">
        <x:v>5</x:v>
      </x:c>
      <x:c r="D13" s="128">
        <x:v>7</x:v>
      </x:c>
      <x:c r="E13" s="128">
        <x:v>0</x:v>
      </x:c>
      <x:c r="F13" s="128">
        <x:v>1</x:v>
      </x:c>
      <x:c r="G13" s="128">
        <x:v>1</x:v>
      </x:c>
      <x:c r="H13" s="128">
        <x:v>3</x:v>
      </x:c>
      <x:c r="I13" s="127" t="n">
        <x:f>SUM(C13:H13)</x:f>
        <x:v>17</x:v>
      </x:c>
      <x:c r="J13" s="96" t="n">
        <x:f>IF(I13=0,0,C13/I13)</x:f>
        <x:v>0.29411764705882354</x:v>
      </x:c>
    </x:row>
    <x:row r="14">
      <x:c r="A14" s="12" t="s">
        <x:v>68</x:v>
      </x:c>
      <x:c r="B14" s="11">
        <x:v>3</x:v>
      </x:c>
      <x:c r="C14" s="11">
        <x:v>3</x:v>
      </x:c>
      <x:c r="D14" s="11" t="n">
        <x:v>4</x:v>
      </x:c>
      <x:c r="E14" s="11" t="n">
        <x:v>1</x:v>
      </x:c>
      <x:c r="F14" s="11">
        <x:v>0</x:v>
      </x:c>
      <x:c r="G14" s="11">
        <x:v>2</x:v>
      </x:c>
      <x:c r="H14" s="11" t="n">
        <x:v>3</x:v>
      </x:c>
      <x:c r="I14" s="9">
        <x:v>13</x:v>
      </x:c>
      <x:c r="J14" s="34">
        <x:v>0.23076923076923081</x:v>
      </x:c>
    </x:row>
    <x:row r="15">
      <x:c r="A15" s="12" t="s">
        <x:v>69</x:v>
      </x:c>
      <x:c r="B15" s="11">
        <x:v>1</x:v>
      </x:c>
      <x:c r="C15" s="11">
        <x:v>1</x:v>
      </x:c>
      <x:c r="D15" s="11">
        <x:v>1</x:v>
      </x:c>
      <x:c r="E15" s="11">
        <x:v>0</x:v>
      </x:c>
      <x:c r="F15" s="11">
        <x:v>0</x:v>
      </x:c>
      <x:c r="G15" s="11">
        <x:v>2</x:v>
      </x:c>
      <x:c r="H15" s="11">
        <x:v>0</x:v>
      </x:c>
      <x:c r="I15" s="9">
        <x:v>4</x:v>
      </x:c>
      <x:c r="J15" s="34">
        <x:v>0.25</x:v>
      </x:c>
    </x:row>
    <x:row r="16">
      <x:c r="A16" s="12" t="s">
        <x:v>39</x:v>
      </x:c>
      <x:c r="B16" s="11">
        <x:v>1</x:v>
      </x:c>
      <x:c r="C16" s="11">
        <x:v>1</x:v>
      </x:c>
      <x:c r="D16" s="11">
        <x:v>2</x:v>
      </x:c>
      <x:c r="E16" s="11">
        <x:v>0</x:v>
      </x:c>
      <x:c r="F16" s="11">
        <x:v>1</x:v>
      </x:c>
      <x:c r="G16" s="11">
        <x:v>0</x:v>
      </x:c>
      <x:c r="H16" s="11">
        <x:v>0</x:v>
      </x:c>
      <x:c r="I16" s="9">
        <x:v>4</x:v>
      </x:c>
      <x:c r="J16" s="34">
        <x:v>0.25</x:v>
      </x:c>
    </x:row>
    <x:row r="17">
      <x:c r="A17" s="12" t="s">
        <x:v>45</x:v>
      </x:c>
      <x:c r="B17" s="11">
        <x:v>1</x:v>
      </x:c>
      <x:c r="C17" s="11">
        <x:v>1</x:v>
      </x:c>
      <x:c r="D17" s="11">
        <x:v>2</x:v>
      </x:c>
      <x:c r="E17" s="11">
        <x:v>0</x:v>
      </x:c>
      <x:c r="F17" s="11">
        <x:v>0</x:v>
      </x:c>
      <x:c r="G17" s="11">
        <x:v>1</x:v>
      </x:c>
      <x:c r="H17" s="11">
        <x:v>0</x:v>
      </x:c>
      <x:c r="I17" s="9">
        <x:v>4</x:v>
      </x:c>
      <x:c r="J17" s="34">
        <x:v>0.25</x:v>
      </x:c>
    </x:row>
    <x:row r="18">
      <x:c r="A18" s="12" t="s">
        <x:v>70</x:v>
      </x:c>
      <x:c r="B18" s="11">
        <x:v>1</x:v>
      </x:c>
      <x:c r="C18" s="11">
        <x:v>1</x:v>
      </x:c>
      <x:c r="D18" s="11">
        <x:v>1</x:v>
      </x:c>
      <x:c r="E18" s="11">
        <x:v>0</x:v>
      </x:c>
      <x:c r="F18" s="11">
        <x:v>0</x:v>
      </x:c>
      <x:c r="G18" s="11">
        <x:v>2</x:v>
      </x:c>
      <x:c r="H18" s="11">
        <x:v>0</x:v>
      </x:c>
      <x:c r="I18" s="9">
        <x:v>4</x:v>
      </x:c>
      <x:c r="J18" s="34">
        <x:v>0.25</x:v>
      </x:c>
    </x:row>
    <x:row r="19">
      <x:c r="A19" s="12" t="s">
        <x:v>51</x:v>
      </x:c>
      <x:c r="B19" s="11">
        <x:v>1</x:v>
      </x:c>
      <x:c r="C19" s="11">
        <x:v>1</x:v>
      </x:c>
      <x:c r="D19" s="11">
        <x:v>2</x:v>
      </x:c>
      <x:c r="E19" s="11">
        <x:v>0</x:v>
      </x:c>
      <x:c r="F19" s="11">
        <x:v>0</x:v>
      </x:c>
      <x:c r="G19" s="11">
        <x:v>1</x:v>
      </x:c>
      <x:c r="H19" s="11">
        <x:v>0</x:v>
      </x:c>
      <x:c r="I19" s="9">
        <x:v>4</x:v>
      </x:c>
      <x:c r="J19" s="34">
        <x:v>0.25</x:v>
      </x:c>
    </x:row>
    <x:row r="20">
      <x:c r="A20" s="12" t="s">
        <x:v>23</x:v>
      </x:c>
      <x:c r="B20" s="11">
        <x:v>3</x:v>
      </x:c>
      <x:c r="C20" s="11">
        <x:v>2</x:v>
      </x:c>
      <x:c r="D20" s="11">
        <x:v>2</x:v>
      </x:c>
      <x:c r="E20" s="11">
        <x:v>0</x:v>
      </x:c>
      <x:c r="F20" s="11">
        <x:v>0</x:v>
      </x:c>
      <x:c r="G20" s="11">
        <x:v>3</x:v>
      </x:c>
      <x:c r="H20" s="11">
        <x:v>0</x:v>
      </x:c>
      <x:c r="I20" s="9">
        <x:v>7</x:v>
      </x:c>
      <x:c r="J20" s="34">
        <x:v>0.2857142857142857</x:v>
      </x:c>
    </x:row>
    <x:row r="21">
      <x:c r="A21" s="12" t="s">
        <x:v>71</x:v>
      </x:c>
      <x:c r="B21" s="11">
        <x:v>2</x:v>
      </x:c>
      <x:c r="C21" s="11">
        <x:v>1</x:v>
      </x:c>
      <x:c r="D21" s="11">
        <x:v>1</x:v>
      </x:c>
      <x:c r="E21" s="11">
        <x:v>0</x:v>
      </x:c>
      <x:c r="F21" s="11">
        <x:v>1</x:v>
      </x:c>
      <x:c r="G21" s="11">
        <x:v>0</x:v>
      </x:c>
      <x:c r="H21" s="11">
        <x:v>0</x:v>
      </x:c>
      <x:c r="I21" s="9">
        <x:v>3</x:v>
      </x:c>
      <x:c r="J21" s="34">
        <x:v>0.33333333333333298</x:v>
      </x:c>
    </x:row>
    <x:row r="22">
      <x:c r="A22" s="12" t="s">
        <x:v>72</x:v>
      </x:c>
      <x:c r="B22" s="11">
        <x:v>1</x:v>
      </x:c>
      <x:c r="C22" s="11">
        <x:v>1</x:v>
      </x:c>
      <x:c r="D22" s="11">
        <x:v>1</x:v>
      </x:c>
      <x:c r="E22" s="11">
        <x:v>0</x:v>
      </x:c>
      <x:c r="F22" s="11">
        <x:v>0</x:v>
      </x:c>
      <x:c r="G22" s="11">
        <x:v>1</x:v>
      </x:c>
      <x:c r="H22" s="11">
        <x:v>0</x:v>
      </x:c>
      <x:c r="I22" s="9">
        <x:v>3</x:v>
      </x:c>
      <x:c r="J22" s="34">
        <x:v>0.33333333333333298</x:v>
      </x:c>
    </x:row>
    <x:row r="23" s="14" customFormat="1" ht="21.200000762939453" customHeight="1">
      <x:c r="A23" s="12" t="s">
        <x:v>73</x:v>
      </x:c>
      <x:c r="B23" s="128">
        <x:v>2</x:v>
      </x:c>
      <x:c r="C23" s="128">
        <x:v>3</x:v>
      </x:c>
      <x:c r="D23" s="128">
        <x:v>5</x:v>
      </x:c>
      <x:c r="E23" s="128">
        <x:v>1</x:v>
      </x:c>
      <x:c r="F23" s="128">
        <x:v>0</x:v>
      </x:c>
      <x:c r="G23" s="128">
        <x:v>2</x:v>
      </x:c>
      <x:c r="H23" s="128">
        <x:v>0</x:v>
      </x:c>
      <x:c r="I23" s="127">
        <x:v>11</x:v>
      </x:c>
      <x:c r="J23" s="96" t="n">
        <x:f>IF(I23=0,0,C23/I23)</x:f>
        <x:v>0.2727272727272727</x:v>
      </x:c>
    </x:row>
    <x:row r="24">
      <x:c r="A24" s="12" t="s">
        <x:v>35</x:v>
      </x:c>
      <x:c r="B24" s="11">
        <x:v>2</x:v>
      </x:c>
      <x:c r="C24" s="11">
        <x:v>2</x:v>
      </x:c>
      <x:c r="D24" s="11">
        <x:v>3</x:v>
      </x:c>
      <x:c r="E24" s="11">
        <x:v>0</x:v>
      </x:c>
      <x:c r="F24" s="11">
        <x:v>0</x:v>
      </x:c>
      <x:c r="G24" s="11">
        <x:v>1</x:v>
      </x:c>
      <x:c r="H24" s="11">
        <x:v>0</x:v>
      </x:c>
      <x:c r="I24" s="9" t="n">
        <x:f>SUM(C24:H24)</x:f>
        <x:v>6</x:v>
      </x:c>
      <x:c r="J24" s="34" t="n">
        <x:f>IF(I24=0,0,C24/I24)</x:f>
        <x:v>0.3333333333333333</x:v>
      </x:c>
    </x:row>
    <x:row r="25">
      <x:c r="A25" s="12" t="s">
        <x:v>74</x:v>
      </x:c>
      <x:c r="B25" s="11">
        <x:v>1</x:v>
      </x:c>
      <x:c r="C25" s="11">
        <x:v>1</x:v>
      </x:c>
      <x:c r="D25" s="11">
        <x:v>1</x:v>
      </x:c>
      <x:c r="E25" s="11">
        <x:v>0</x:v>
      </x:c>
      <x:c r="F25" s="11">
        <x:v>1</x:v>
      </x:c>
      <x:c r="G25" s="11">
        <x:v>0</x:v>
      </x:c>
      <x:c r="H25" s="11">
        <x:v>0</x:v>
      </x:c>
      <x:c r="I25" s="9">
        <x:v>3</x:v>
      </x:c>
      <x:c r="J25" s="34">
        <x:v>0.33333333333333298</x:v>
      </x:c>
    </x:row>
    <x:row r="26">
      <x:c r="A26" s="12" t="s">
        <x:v>75</x:v>
      </x:c>
      <x:c r="B26" s="11">
        <x:v>1</x:v>
      </x:c>
      <x:c r="C26" s="11">
        <x:v>0</x:v>
      </x:c>
      <x:c r="D26" s="11">
        <x:v>2</x:v>
      </x:c>
      <x:c r="E26" s="11">
        <x:v>0</x:v>
      </x:c>
      <x:c r="F26" s="11">
        <x:v>0</x:v>
      </x:c>
      <x:c r="G26" s="11">
        <x:v>1</x:v>
      </x:c>
      <x:c r="H26" s="11">
        <x:v>0</x:v>
      </x:c>
      <x:c r="I26" s="9">
        <x:v>3</x:v>
      </x:c>
      <x:c r="J26" s="34">
        <x:v>0</x:v>
      </x:c>
    </x:row>
    <x:row r="27">
      <x:c r="A27" s="12" t="s">
        <x:v>21</x:v>
      </x:c>
      <x:c r="B27" s="11">
        <x:v>1</x:v>
      </x:c>
      <x:c r="C27" s="11">
        <x:v>1</x:v>
      </x:c>
      <x:c r="D27" s="11">
        <x:v>1</x:v>
      </x:c>
      <x:c r="E27" s="11">
        <x:v>0</x:v>
      </x:c>
      <x:c r="F27" s="11">
        <x:v>0</x:v>
      </x:c>
      <x:c r="G27" s="11">
        <x:v>0</x:v>
      </x:c>
      <x:c r="H27" s="11">
        <x:v>0</x:v>
      </x:c>
      <x:c r="I27" s="9">
        <x:v>2</x:v>
      </x:c>
      <x:c r="J27" s="34">
        <x:v>0.5</x:v>
      </x:c>
    </x:row>
    <x:row r="28">
      <x:c r="A28" s="12" t="s">
        <x:v>47</x:v>
      </x:c>
      <x:c r="B28" s="11">
        <x:v>1</x:v>
      </x:c>
      <x:c r="C28" s="11">
        <x:v>0</x:v>
      </x:c>
      <x:c r="D28" s="11">
        <x:v>1</x:v>
      </x:c>
      <x:c r="E28" s="11">
        <x:v>0</x:v>
      </x:c>
      <x:c r="F28" s="11">
        <x:v>0</x:v>
      </x:c>
      <x:c r="G28" s="11">
        <x:v>1</x:v>
      </x:c>
      <x:c r="H28" s="11">
        <x:v>0</x:v>
      </x:c>
      <x:c r="I28" s="9">
        <x:v>2</x:v>
      </x:c>
      <x:c r="J28" s="34">
        <x:v>0</x:v>
      </x:c>
    </x:row>
    <x:row r="29">
      <x:c r="A29" s="12" t="s">
        <x:v>76</x:v>
      </x:c>
      <x:c r="B29" s="11">
        <x:v>1</x:v>
      </x:c>
      <x:c r="C29" s="11">
        <x:v>1</x:v>
      </x:c>
      <x:c r="D29" s="11">
        <x:v>1</x:v>
      </x:c>
      <x:c r="E29" s="11">
        <x:v>0</x:v>
      </x:c>
      <x:c r="F29" s="11">
        <x:v>0</x:v>
      </x:c>
      <x:c r="G29" s="11">
        <x:v>0</x:v>
      </x:c>
      <x:c r="H29" s="11">
        <x:v>0</x:v>
      </x:c>
      <x:c r="I29" s="9">
        <x:v>2</x:v>
      </x:c>
      <x:c r="J29" s="34">
        <x:v>0.5</x:v>
      </x:c>
    </x:row>
    <x:row r="30">
      <x:c r="A30" s="12" t="s">
        <x:v>53</x:v>
      </x:c>
      <x:c r="B30" s="11">
        <x:v>2</x:v>
      </x:c>
      <x:c r="C30" s="11">
        <x:v>2</x:v>
      </x:c>
      <x:c r="D30" s="11">
        <x:v>3</x:v>
      </x:c>
      <x:c r="E30" s="11">
        <x:v>0</x:v>
      </x:c>
      <x:c r="F30" s="11">
        <x:v>0</x:v>
      </x:c>
      <x:c r="G30" s="11">
        <x:v>0</x:v>
      </x:c>
      <x:c r="H30" s="11">
        <x:v>0</x:v>
      </x:c>
      <x:c r="I30" s="9">
        <x:v>5</x:v>
      </x:c>
      <x:c r="J30" s="34">
        <x:v>0.4</x:v>
      </x:c>
    </x:row>
    <x:row r="31">
      <x:c r="A31" s="12" t="s">
        <x:v>77</x:v>
      </x:c>
      <x:c r="B31" s="11">
        <x:v>1</x:v>
      </x:c>
      <x:c r="C31" s="11">
        <x:v>0</x:v>
      </x:c>
      <x:c r="D31" s="11">
        <x:v>1</x:v>
      </x:c>
      <x:c r="E31" s="11">
        <x:v>0</x:v>
      </x:c>
      <x:c r="F31" s="11">
        <x:v>0</x:v>
      </x:c>
      <x:c r="G31" s="11">
        <x:v>0</x:v>
      </x:c>
      <x:c r="H31" s="11">
        <x:v>0</x:v>
      </x:c>
      <x:c r="I31" s="9">
        <x:v>1</x:v>
      </x:c>
      <x:c r="J31" s="34">
        <x:v>0</x:v>
      </x:c>
    </x:row>
    <x:row r="32">
      <x:c r="A32" s="12" t="s">
        <x:v>78</x:v>
      </x:c>
      <x:c r="B32" s="11">
        <x:v>1</x:v>
      </x:c>
      <x:c r="C32" s="11">
        <x:v>1</x:v>
      </x:c>
      <x:c r="D32" s="11">
        <x:v>1</x:v>
      </x:c>
      <x:c r="E32" s="11">
        <x:v>0</x:v>
      </x:c>
      <x:c r="F32" s="11">
        <x:v>0</x:v>
      </x:c>
      <x:c r="G32" s="11">
        <x:v>0</x:v>
      </x:c>
      <x:c r="H32" s="11">
        <x:v>0</x:v>
      </x:c>
      <x:c r="I32" s="9">
        <x:v>2</x:v>
      </x:c>
      <x:c r="J32" s="34">
        <x:v>0.5</x:v>
      </x:c>
    </x:row>
    <x:row r="33">
      <x:c r="A33" s="12" t="s">
        <x:v>79</x:v>
      </x:c>
      <x:c r="B33" s="11">
        <x:v>1</x:v>
      </x:c>
      <x:c r="C33" s="11">
        <x:v>1</x:v>
      </x:c>
      <x:c r="D33" s="11">
        <x:v>2</x:v>
      </x:c>
      <x:c r="E33" s="11">
        <x:v>1</x:v>
      </x:c>
      <x:c r="F33" s="11">
        <x:v>0</x:v>
      </x:c>
      <x:c r="G33" s="11">
        <x:v>0</x:v>
      </x:c>
      <x:c r="H33" s="11">
        <x:v>0</x:v>
      </x:c>
      <x:c r="I33" s="9">
        <x:v>4</x:v>
      </x:c>
      <x:c r="J33" s="34">
        <x:v>0.25</x:v>
      </x:c>
    </x:row>
    <x:row r="34">
      <x:c r="A34" s="12" t="s">
        <x:v>80</x:v>
      </x:c>
      <x:c r="B34" s="11">
        <x:v>2</x:v>
      </x:c>
      <x:c r="C34" s="11">
        <x:v>2</x:v>
      </x:c>
      <x:c r="D34" s="11">
        <x:v>0</x:v>
      </x:c>
      <x:c r="E34" s="11">
        <x:v>0</x:v>
      </x:c>
      <x:c r="F34" s="11">
        <x:v>0</x:v>
      </x:c>
      <x:c r="G34" s="11">
        <x:v>0</x:v>
      </x:c>
      <x:c r="H34" s="11">
        <x:v>0</x:v>
      </x:c>
      <x:c r="I34" s="9" t="n">
        <x:f>SUM(C34:H34)</x:f>
        <x:v>2</x:v>
      </x:c>
      <x:c r="J34" s="34" t="n">
        <x:f>IF(I34=0,0,C34/I34)</x:f>
        <x:v>1</x:v>
      </x:c>
    </x:row>
    <x:row r="35">
      <x:c r="A35" s="12" t="s">
        <x:v>81</x:v>
      </x:c>
      <x:c r="B35" s="11">
        <x:v>1</x:v>
      </x:c>
      <x:c r="C35" s="11">
        <x:v>1</x:v>
      </x:c>
      <x:c r="D35" s="11">
        <x:v>1</x:v>
      </x:c>
      <x:c r="E35" s="11">
        <x:v>0</x:v>
      </x:c>
      <x:c r="F35" s="11">
        <x:v>0</x:v>
      </x:c>
      <x:c r="G35" s="11">
        <x:v>1</x:v>
      </x:c>
      <x:c r="H35" s="11">
        <x:v>2</x:v>
      </x:c>
      <x:c r="I35" s="9">
        <x:v>5</x:v>
      </x:c>
      <x:c r="J35" s="34">
        <x:v>0.2</x:v>
      </x:c>
    </x:row>
    <x:row r="36">
      <x:c r="A36" t="s">
        <x:v>82</x:v>
      </x:c>
      <x:c r="B36">
        <x:v>2</x:v>
      </x:c>
      <x:c r="C36">
        <x:v>2</x:v>
      </x:c>
      <x:c r="D36">
        <x:v>2</x:v>
      </x:c>
      <x:c r="E36">
        <x:v>0</x:v>
      </x:c>
      <x:c r="F36">
        <x:v>0</x:v>
      </x:c>
      <x:c r="G36">
        <x:v>1</x:v>
      </x:c>
      <x:c r="H36">
        <x:v>2</x:v>
      </x:c>
      <x:c r="I36">
        <x:v>7</x:v>
      </x:c>
      <x:c r="J36" s="95" t="n">
        <x:f>IF(I36=0,0,C36/I36)</x:f>
        <x:v>0.2857142857142857</x:v>
      </x:c>
    </x:row>
    <x:row r="37">
      <x:c r="A37" t="s">
        <x:v>83</x:v>
      </x:c>
      <x:c r="B37">
        <x:v>1</x:v>
      </x:c>
      <x:c r="C37">
        <x:v>1</x:v>
      </x:c>
      <x:c r="D37">
        <x:v>2</x:v>
      </x:c>
      <x:c r="E37">
        <x:v>1</x:v>
      </x:c>
      <x:c r="F37">
        <x:v>0</x:v>
      </x:c>
      <x:c r="G37">
        <x:v>0</x:v>
      </x:c>
      <x:c r="H37">
        <x:v>0</x:v>
      </x:c>
      <x:c r="I37">
        <x:v>4</x:v>
      </x:c>
      <x:c r="J37" s="37">
        <x:v>0.25</x:v>
      </x:c>
    </x:row>
    <x:row r="38">
      <x:c r="A38" t="s">
        <x:v>84</x:v>
      </x:c>
      <x:c r="B38">
        <x:v>1</x:v>
      </x:c>
      <x:c r="C38">
        <x:v>1</x:v>
      </x:c>
      <x:c r="D38">
        <x:v>1</x:v>
      </x:c>
      <x:c r="E38">
        <x:v>0</x:v>
      </x:c>
      <x:c r="F38">
        <x:v>0</x:v>
      </x:c>
      <x:c r="G38">
        <x:v>0</x:v>
      </x:c>
      <x:c r="H38">
        <x:v>2</x:v>
      </x:c>
      <x:c r="I38">
        <x:v>4</x:v>
      </x:c>
      <x:c r="J38" s="37">
        <x:v>0.25</x:v>
      </x:c>
    </x:row>
    <x:row r="39">
      <x:c r="A39" t="s">
        <x:v>85</x:v>
      </x:c>
      <x:c r="B39">
        <x:v>1</x:v>
      </x:c>
      <x:c r="C39">
        <x:v>1</x:v>
      </x:c>
      <x:c r="D39">
        <x:v>2</x:v>
      </x:c>
      <x:c r="E39">
        <x:v>0</x:v>
      </x:c>
      <x:c r="F39">
        <x:v>0</x:v>
      </x:c>
      <x:c r="G39">
        <x:v>1</x:v>
      </x:c>
      <x:c r="H39">
        <x:v>0</x:v>
      </x:c>
      <x:c r="I39">
        <x:v>4</x:v>
      </x:c>
      <x:c r="J39" s="37">
        <x:v>0.25</x:v>
      </x:c>
    </x:row>
    <x:row r="40">
      <x:c r="A40" t="s">
        <x:v>86</x:v>
      </x:c>
      <x:c r="B40">
        <x:v>1</x:v>
      </x:c>
      <x:c r="C40">
        <x:v>1</x:v>
      </x:c>
      <x:c r="D40">
        <x:v>0</x:v>
      </x:c>
      <x:c r="E40">
        <x:v>0</x:v>
      </x:c>
      <x:c r="F40">
        <x:v>0</x:v>
      </x:c>
      <x:c r="G40">
        <x:v>0</x:v>
      </x:c>
      <x:c r="H40">
        <x:v>0</x:v>
      </x:c>
      <x:c r="I40">
        <x:v>1</x:v>
      </x:c>
      <x:c r="J40" s="33">
        <x:v>1</x:v>
      </x:c>
    </x:row>
    <x:row r="41" s="14" customFormat="1" ht="22.350000381469727" customHeight="1">
      <x:c r="A41" s="39" t="s">
        <x:v>87</x:v>
      </x:c>
      <x:c r="B41">
        <x:v>1</x:v>
      </x:c>
      <x:c r="C41">
        <x:v>0</x:v>
      </x:c>
      <x:c r="D41">
        <x:v>0</x:v>
      </x:c>
      <x:c r="E41">
        <x:v>0</x:v>
      </x:c>
      <x:c r="F41">
        <x:v>2</x:v>
      </x:c>
      <x:c r="G41">
        <x:v>1</x:v>
      </x:c>
      <x:c r="H41">
        <x:v>0</x:v>
      </x:c>
      <x:c r="I41">
        <x:v>3</x:v>
      </x:c>
      <x:c r="J41" s="33" t="n">
        <x:f>IF(I41=0,0,C41/I41)</x:f>
        <x:v>0</x:v>
      </x:c>
    </x:row>
    <x:row r="42">
      <x:c r="A42" t="s">
        <x:v>56</x:v>
      </x:c>
      <x:c r="B42">
        <x:v>1</x:v>
      </x:c>
      <x:c r="C42">
        <x:v>1</x:v>
      </x:c>
      <x:c r="D42">
        <x:v>2</x:v>
      </x:c>
      <x:c r="E42">
        <x:v>0</x:v>
      </x:c>
      <x:c r="F42">
        <x:v>0</x:v>
      </x:c>
      <x:c r="G42">
        <x:v>1</x:v>
      </x:c>
      <x:c r="H42">
        <x:v>0</x:v>
      </x:c>
      <x:c r="I42" t="n">
        <x:f>SUM(C42:H42)</x:f>
        <x:v>4</x:v>
      </x:c>
      <x:c r="J42" t="n">
        <x:f>IF(I42=0,0,C42/I42)</x:f>
        <x:v>0.25</x:v>
      </x:c>
    </x:row>
    <x:row r="43">
      <x:c r="A43" t="str">
        <x:v>(주)성광엔지니어링</x:v>
      </x:c>
      <x:c r="B43" s="536">
        <x:v>2</x:v>
      </x:c>
      <x:c r="C43" s="536">
        <x:v>2</x:v>
      </x:c>
      <x:c r="D43" s="536" t="n">
        <x:v>3</x:v>
      </x:c>
      <x:c r="E43" s="536">
        <x:v>0</x:v>
      </x:c>
      <x:c r="F43" s="536">
        <x:v>0</x:v>
      </x:c>
      <x:c r="G43" s="536">
        <x:v>1</x:v>
      </x:c>
      <x:c r="H43" s="536" t="n">
        <x:v>3</x:v>
      </x:c>
      <x:c r="I43" s="536" t="n">
        <x:v>9</x:v>
      </x:c>
      <x:c r="J43" s="95" t="n">
        <x:f>IF(I43=0,0,C43/I43)</x:f>
        <x:v>0.2222222222222222</x:v>
      </x:c>
    </x:row>
    <x:row r="44">
      <x:c r="A44" t="str">
        <x:v>(주)제일타워공영</x:v>
      </x:c>
      <x:c r="B44" s="536" t="n">
        <x:v>1</x:v>
      </x:c>
      <x:c r="C44" s="536" t="n">
        <x:v>1</x:v>
      </x:c>
      <x:c r="D44" s="536" t="n">
        <x:v>2</x:v>
      </x:c>
      <x:c r="E44" s="536" t="n">
        <x:v>0</x:v>
      </x:c>
      <x:c r="F44" s="536" t="n">
        <x:v>0</x:v>
      </x:c>
      <x:c r="G44" s="536" t="n">
        <x:v>1</x:v>
      </x:c>
      <x:c r="H44" s="536" t="n">
        <x:v>0</x:v>
      </x:c>
      <x:c r="I44" s="536" t="n">
        <x:f>SUM(C44:H44)</x:f>
        <x:v>4</x:v>
      </x:c>
      <x:c r="J44" s="95" t="n">
        <x:f>IF(I44=0,0,C44/I44)</x:f>
        <x:v>0.25</x:v>
      </x:c>
    </x:row>
  </x:sheetData>
  <x:mergeCells>
    <x:mergeCell ref="A1:J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6.5"/>
  <x:cols>
    <x:col min="1" max="1" width="9.16015625" style="14" customWidth="1"/>
    <x:col min="2" max="2" width="27.23046875" style="14" customWidth="1"/>
    <x:col min="3" max="3" width="8.5390625" style="14" customWidth="1"/>
    <x:col min="4" max="4" width="18.1953125" style="14" customWidth="1"/>
    <x:col min="5" max="6" width="8.16796875" style="14" customWidth="1"/>
    <x:col min="7" max="8" width="4.82421875" style="14" customWidth="1"/>
    <x:col min="9" max="9" width="16.83203125" style="14" customWidth="1"/>
  </x:cols>
  <x:sheetData>
    <x:row r="1" s="14" customFormat="1" ht="20.100000381469727" customHeight="1">
      <x:c r="A1" s="189" t="s">
        <x:v>88</x:v>
      </x:c>
      <x:c r="B1" s="184"/>
      <x:c r="C1" s="184"/>
      <x:c r="D1" s="184"/>
      <x:c r="E1" s="184"/>
      <x:c r="F1" s="184"/>
      <x:c r="G1" s="184"/>
      <x:c r="H1" s="184"/>
      <x:c r="I1" s="184"/>
    </x:row>
    <x:row r="2">
      <x:c r="A2" s="191" t="s">
        <x:v>89</x:v>
      </x:c>
      <x:c r="B2" s="184"/>
      <x:c r="C2" s="184"/>
      <x:c r="D2" s="184"/>
      <x:c r="E2" s="184"/>
      <x:c r="F2" s="184"/>
      <x:c r="G2" s="184"/>
      <x:c r="H2" s="184"/>
      <x:c r="I2" s="184"/>
    </x:row>
    <x:row r="4" s="14" customFormat="1" ht="15.399999618530273" customHeight="1">
      <x:c r="A4" s="190" t="s">
        <x:v>90</x:v>
      </x:c>
      <x:c r="B4" s="184"/>
      <x:c r="C4" s="184"/>
      <x:c r="D4" s="184"/>
      <x:c r="E4" s="184"/>
      <x:c r="F4" s="184"/>
      <x:c r="G4" s="184"/>
      <x:c r="H4" s="184"/>
      <x:c r="I4" s="184"/>
    </x:row>
    <x:row r="5">
      <x:c r="A5" s="15" t="s">
        <x:v>91</x:v>
      </x:c>
      <x:c r="B5" s="15" t="s">
        <x:v>92</x:v>
      </x:c>
      <x:c r="C5" s="15" t="s">
        <x:v>93</x:v>
      </x:c>
      <x:c r="D5" s="15" t="s">
        <x:v>94</x:v>
      </x:c>
      <x:c r="E5" s="15" t="s">
        <x:v>95</x:v>
      </x:c>
      <x:c r="F5" s="15" t="s">
        <x:v>7</x:v>
      </x:c>
    </x:row>
    <x:row r="6">
      <x:c r="A6" s="16" t="n">
        <x:f t="shared" ref="A6:F6" si="0">SUM(C11:C20)</x:f>
        <x:v>132</x:v>
      </x:c>
      <x:c r="B6" s="16" t="n">
        <x:f t="shared" si="0"/>
        <x:v>48</x:v>
      </x:c>
      <x:c r="C6" s="16" t="n">
        <x:f t="shared" si="0"/>
        <x:v>57</x:v>
      </x:c>
      <x:c r="D6" s="16" t="n">
        <x:f t="shared" si="0"/>
        <x:v>2</x:v>
      </x:c>
      <x:c r="E6" s="16" t="n">
        <x:f t="shared" si="0"/>
        <x:v>12</x:v>
      </x:c>
      <x:c r="F6" s="16" t="n">
        <x:f t="shared" si="0"/>
        <x:v>13</x:v>
      </x:c>
    </x:row>
    <x:row r="7">
      <x:c r="A7" s="17" t="s">
        <x:v>96</x:v>
      </x:c>
      <x:c r="B7" s="35" t="n">
        <x:v>0.36363636363636365</x:v>
      </x:c>
      <x:c r="C7" s="35" t="n">
        <x:v>0.4318181818181818</x:v>
      </x:c>
      <x:c r="D7" s="35" t="n">
        <x:v>0.015151515151515152</x:v>
      </x:c>
      <x:c r="E7" s="35" t="n">
        <x:v>0.09090909090909091</x:v>
      </x:c>
      <x:c r="F7" s="35" t="n">
        <x:v>0.09848484848484848</x:v>
      </x:c>
    </x:row>
    <x:row r="9" s="14" customFormat="1" ht="15.399999618530273" customHeight="1">
      <x:c r="A9" s="190" t="s">
        <x:v>97</x:v>
      </x:c>
      <x:c r="B9" s="184"/>
      <x:c r="C9" s="184"/>
      <x:c r="D9" s="184"/>
      <x:c r="E9" s="184"/>
      <x:c r="F9" s="184"/>
      <x:c r="G9" s="184"/>
      <x:c r="H9" s="184"/>
      <x:c r="I9" s="184"/>
    </x:row>
    <x:row r="10" s="14" customFormat="1" ht="37.5" customHeight="1">
      <x:c r="A10" s="18" t="s">
        <x:v>98</x:v>
      </x:c>
      <x:c r="B10" s="18" t="s">
        <x:v>14</x:v>
      </x:c>
      <x:c r="C10" s="18" t="s">
        <x:v>99</x:v>
      </x:c>
      <x:c r="D10" s="18" t="s">
        <x:v>92</x:v>
      </x:c>
      <x:c r="E10" s="18" t="s">
        <x:v>93</x:v>
      </x:c>
      <x:c r="F10" s="18" t="s">
        <x:v>100</x:v>
      </x:c>
      <x:c r="G10" s="18" t="s">
        <x:v>95</x:v>
      </x:c>
      <x:c r="H10" s="18" t="s">
        <x:v>7</x:v>
      </x:c>
      <x:c r="I10" s="18" t="s">
        <x:v>101</x:v>
      </x:c>
    </x:row>
    <x:row r="11">
      <x:c r="A11" s="19">
        <x:v>1</x:v>
      </x:c>
      <x:c r="B11" s="20" t="s">
        <x:v>102</x:v>
      </x:c>
      <x:c r="C11" s="21">
        <x:v>36</x:v>
      </x:c>
      <x:c r="D11" s="22">
        <x:v>12</x:v>
      </x:c>
      <x:c r="E11" s="22">
        <x:v>17</x:v>
      </x:c>
      <x:c r="F11" s="22">
        <x:v>0</x:v>
      </x:c>
      <x:c r="G11" s="22">
        <x:v>2</x:v>
      </x:c>
      <x:c r="H11" s="22">
        <x:v>5</x:v>
      </x:c>
      <x:c r="I11" s="23" t="s">
        <x:v>103</x:v>
      </x:c>
    </x:row>
    <x:row r="12">
      <x:c r="A12" s="24">
        <x:v>2</x:v>
      </x:c>
      <x:c r="B12" s="25" t="s">
        <x:v>104</x:v>
      </x:c>
      <x:c r="C12" s="26">
        <x:v>34</x:v>
      </x:c>
      <x:c r="D12" s="27">
        <x:v>11</x:v>
      </x:c>
      <x:c r="E12" s="27">
        <x:v>11</x:v>
      </x:c>
      <x:c r="F12" s="27">
        <x:v>2</x:v>
      </x:c>
      <x:c r="G12" s="27">
        <x:v>2</x:v>
      </x:c>
      <x:c r="H12" s="27">
        <x:v>8</x:v>
      </x:c>
      <x:c r="I12" s="28" t="s">
        <x:v>105</x:v>
      </x:c>
    </x:row>
    <x:row r="13">
      <x:c r="A13" s="19">
        <x:v>3</x:v>
      </x:c>
      <x:c r="B13" s="20" t="s">
        <x:v>106</x:v>
      </x:c>
      <x:c r="C13" s="21">
        <x:v>10</x:v>
      </x:c>
      <x:c r="D13" s="22">
        <x:v>4</x:v>
      </x:c>
      <x:c r="E13" s="22">
        <x:v>5</x:v>
      </x:c>
      <x:c r="F13" s="22">
        <x:v>0</x:v>
      </x:c>
      <x:c r="G13" s="22">
        <x:v>1</x:v>
      </x:c>
      <x:c r="H13" s="22">
        <x:v>0</x:v>
      </x:c>
      <x:c r="I13" s="23" t="s">
        <x:v>107</x:v>
      </x:c>
    </x:row>
    <x:row r="14">
      <x:c r="A14" s="24">
        <x:v>4</x:v>
      </x:c>
      <x:c r="B14" s="25" t="s">
        <x:v>108</x:v>
      </x:c>
      <x:c r="C14" s="26">
        <x:v>14</x:v>
      </x:c>
      <x:c r="D14" s="27">
        <x:v>5</x:v>
      </x:c>
      <x:c r="E14" s="27">
        <x:v>6</x:v>
      </x:c>
      <x:c r="F14" s="27">
        <x:v>0</x:v>
      </x:c>
      <x:c r="G14" s="27">
        <x:v>3</x:v>
      </x:c>
      <x:c r="H14" s="27">
        <x:v>0</x:v>
      </x:c>
      <x:c r="I14" s="28" t="s">
        <x:v>109</x:v>
      </x:c>
    </x:row>
    <x:row r="15">
      <x:c r="A15" s="19">
        <x:v>5</x:v>
      </x:c>
      <x:c r="B15" s="20" t="s">
        <x:v>110</x:v>
      </x:c>
      <x:c r="C15" s="21">
        <x:v>5</x:v>
      </x:c>
      <x:c r="D15" s="22">
        <x:v>2</x:v>
      </x:c>
      <x:c r="E15" s="22">
        <x:v>2</x:v>
      </x:c>
      <x:c r="F15" s="22">
        <x:v>0</x:v>
      </x:c>
      <x:c r="G15" s="22">
        <x:v>1</x:v>
      </x:c>
      <x:c r="H15" s="22">
        <x:v>0</x:v>
      </x:c>
      <x:c r="I15" s="28" t="s">
        <x:v>109</x:v>
      </x:c>
    </x:row>
    <x:row r="16">
      <x:c r="A16" s="24">
        <x:v>6</x:v>
      </x:c>
      <x:c r="B16" s="25" t="s">
        <x:v>111</x:v>
      </x:c>
      <x:c r="C16" s="26">
        <x:v>3</x:v>
      </x:c>
      <x:c r="D16" s="27">
        <x:v>2</x:v>
      </x:c>
      <x:c r="E16" s="27">
        <x:v>1</x:v>
      </x:c>
      <x:c r="F16" s="27">
        <x:v>0</x:v>
      </x:c>
      <x:c r="G16" s="27">
        <x:v>0</x:v>
      </x:c>
      <x:c r="H16" s="27">
        <x:v>0</x:v>
      </x:c>
      <x:c r="I16" s="28" t="s">
        <x:v>112</x:v>
      </x:c>
    </x:row>
    <x:row r="17">
      <x:c r="A17" s="19">
        <x:v>7</x:v>
      </x:c>
      <x:c r="B17" s="20" t="s">
        <x:v>113</x:v>
      </x:c>
      <x:c r="C17" s="21">
        <x:v>15</x:v>
      </x:c>
      <x:c r="D17" s="22">
        <x:v>6</x:v>
      </x:c>
      <x:c r="E17" s="22">
        <x:v>7</x:v>
      </x:c>
      <x:c r="F17" s="22">
        <x:v>0</x:v>
      </x:c>
      <x:c r="G17" s="22">
        <x:v>2</x:v>
      </x:c>
      <x:c r="H17" s="22">
        <x:v>0</x:v>
      </x:c>
      <x:c r="I17" s="23" t="s">
        <x:v>114</x:v>
      </x:c>
    </x:row>
    <x:row r="18">
      <x:c r="A18" s="24">
        <x:v>8</x:v>
      </x:c>
      <x:c r="B18" s="25" t="s">
        <x:v>115</x:v>
      </x:c>
      <x:c r="C18" s="26">
        <x:v>5</x:v>
      </x:c>
      <x:c r="D18" s="27">
        <x:v>2</x:v>
      </x:c>
      <x:c r="E18" s="27">
        <x:v>3</x:v>
      </x:c>
      <x:c r="F18" s="27">
        <x:v>0</x:v>
      </x:c>
      <x:c r="G18" s="27">
        <x:v>0</x:v>
      </x:c>
      <x:c r="H18" s="27">
        <x:v>0</x:v>
      </x:c>
      <x:c r="I18" s="28" t="s">
        <x:v>116</x:v>
      </x:c>
    </x:row>
    <x:row r="19">
      <x:c r="A19" s="19">
        <x:v>9</x:v>
      </x:c>
      <x:c r="B19" s="20" t="s">
        <x:v>117</x:v>
      </x:c>
      <x:c r="C19" s="21">
        <x:v>2</x:v>
      </x:c>
      <x:c r="D19" s="22">
        <x:v>1</x:v>
      </x:c>
      <x:c r="E19" s="22">
        <x:v>1</x:v>
      </x:c>
      <x:c r="F19" s="22">
        <x:v>0</x:v>
      </x:c>
      <x:c r="G19" s="22">
        <x:v>0</x:v>
      </x:c>
      <x:c r="H19" s="22">
        <x:v>0</x:v>
      </x:c>
      <x:c r="I19" s="23" t="s">
        <x:v>118</x:v>
      </x:c>
    </x:row>
    <x:row r="20" s="14" customFormat="1" ht="14.449999809265137" customHeight="1">
      <x:c r="A20" s="24">
        <x:v>10</x:v>
      </x:c>
      <x:c r="B20" s="25" t="s">
        <x:v>119</x:v>
      </x:c>
      <x:c r="C20" s="26">
        <x:v>6</x:v>
      </x:c>
      <x:c r="D20" s="27">
        <x:v>2</x:v>
      </x:c>
      <x:c r="E20" s="27">
        <x:v>3</x:v>
      </x:c>
      <x:c r="F20" s="27">
        <x:v>0</x:v>
      </x:c>
      <x:c r="G20" s="27">
        <x:v>1</x:v>
      </x:c>
      <x:c r="H20" s="27">
        <x:v>0</x:v>
      </x:c>
      <x:c r="I20" s="28" t="s">
        <x:v>109</x:v>
      </x:c>
    </x:row>
    <x:row r="21" s="14" customFormat="1" ht="14.449999809265137" customHeight="1">
      <x:c r="A21" s="29" t="n">
        <x:v>11</x:v>
      </x:c>
      <x:c r="B21" s="30" t="str">
        <x:v>기흥 NRD-K2 복합동 신축공사</x:v>
      </x:c>
      <x:c r="C21" s="31" t="n">
        <x:f t="shared" ref="C21:H21" si="1">SUM(C11:C20)</x:f>
        <x:v>2</x:v>
      </x:c>
      <x:c r="D21" s="31" t="n">
        <x:f t="shared" si="1"/>
        <x:v>1</x:v>
      </x:c>
      <x:c r="E21" s="31" t="n">
        <x:f t="shared" si="1"/>
        <x:v>1</x:v>
      </x:c>
      <x:c r="F21" s="31" t="n">
        <x:f t="shared" si="1"/>
        <x:v>0</x:v>
      </x:c>
      <x:c r="G21" s="31" t="n">
        <x:f t="shared" si="1"/>
        <x:v>0</x:v>
      </x:c>
      <x:c r="H21" s="31" t="n">
        <x:f t="shared" si="1"/>
        <x:v>0</x:v>
      </x:c>
      <x:c r="I21" s="29" t="str">
        <x:v>신규 현장 · 신우개발(주) / 삼성이앤에이(주)</x:v>
      </x:c>
    </x:row>
    <x:row r="22" s="14" customFormat="1" ht="14.449999809265137" customHeight="1">
      <x:c r="A22"/>
      <x:c r="B22" t="str">
        <x:v>합 계</x:v>
      </x:c>
      <x:c r="C22" t="n">
        <x:v>132</x:v>
      </x:c>
      <x:c r="D22" t="n">
        <x:v>48</x:v>
      </x:c>
      <x:c r="E22" t="n">
        <x:v>57</x:v>
      </x:c>
      <x:c r="F22" t="n">
        <x:v>2</x:v>
      </x:c>
      <x:c r="G22" t="n">
        <x:v>12</x:v>
      </x:c>
      <x:c r="H22" t="n">
        <x:v>13</x:v>
      </x:c>
      <x:c r="I22"/>
    </x:row>
  </x:sheetData>
  <x:mergeCells>
    <x:mergeCell ref="A1:I1"/>
    <x:mergeCell ref="A4:I4"/>
    <x:mergeCell ref="A2:I2"/>
    <x:mergeCell ref="A9:I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6.5"/>
  <x:cols>
    <x:col min="1" max="1" width="20.17578125" style="14" customWidth="1"/>
    <x:col min="2" max="2" width="30.203125" style="14" customWidth="1"/>
    <x:col min="3" max="3" width="40.10546875" style="14" customWidth="1"/>
    <x:col min="4" max="4" width="7.55078125" style="14" customWidth="1"/>
    <x:col min="5" max="6" width="6.43359375" style="14" customWidth="1"/>
    <x:col min="7" max="7" width="13.73828125" style="14" customWidth="1"/>
    <x:col min="8" max="9" width="6.43359375" style="14" customWidth="1"/>
    <x:col min="10" max="10" width="16.83203125" style="14" customWidth="1"/>
  </x:cols>
  <x:sheetData>
    <x:row r="1" s="14" customFormat="1" ht="15.399999618530273" customHeight="1">
      <x:c r="A1" s="192" t="s">
        <x:v>120</x:v>
      </x:c>
      <x:c r="B1" s="193"/>
      <x:c r="C1" s="193"/>
      <x:c r="D1" s="193"/>
      <x:c r="E1" s="193"/>
      <x:c r="F1" s="193"/>
      <x:c r="G1" s="193"/>
      <x:c r="H1" s="193"/>
      <x:c r="I1" s="193"/>
      <x:c r="J1" s="193"/>
    </x:row>
    <x:row r="2">
      <x:c r="A2" s="40" t="s">
        <x:v>121</x:v>
      </x:c>
      <x:c r="B2" s="40" t="s">
        <x:v>122</x:v>
      </x:c>
      <x:c r="C2" s="40" t="s">
        <x:v>14</x:v>
      </x:c>
      <x:c r="D2" s="40" t="s">
        <x:v>17</x:v>
      </x:c>
      <x:c r="E2" s="40" t="s">
        <x:v>2</x:v>
      </x:c>
      <x:c r="F2" s="40" t="s">
        <x:v>3</x:v>
      </x:c>
      <x:c r="G2" s="40" t="s">
        <x:v>123</x:v>
      </x:c>
      <x:c r="H2" s="40" t="s">
        <x:v>6</x:v>
      </x:c>
      <x:c r="I2" s="40" t="s">
        <x:v>7</x:v>
      </x:c>
      <x:c r="J2" s="40" t="s">
        <x:v>18</x:v>
      </x:c>
    </x:row>
    <x:row r="3">
      <x:c r="A3" s="41"/>
      <x:c r="B3" s="42"/>
      <x:c r="C3" s="43"/>
      <x:c r="D3" s="42"/>
      <x:c r="E3" s="42"/>
      <x:c r="F3" s="42"/>
      <x:c r="G3" s="42"/>
      <x:c r="H3" s="42"/>
      <x:c r="I3" s="42"/>
      <x:c r="J3" s="44"/>
    </x:row>
    <x:row r="4" ht="17.25">
      <x:c r="A4" s="42" t="s">
        <x:v>31</x:v>
      </x:c>
      <x:c r="B4" s="41" t="s">
        <x:v>124</x:v>
      </x:c>
      <x:c r="C4" s="43" t="s">
        <x:v>125</x:v>
      </x:c>
      <x:c r="D4" s="42">
        <x:v>5</x:v>
      </x:c>
      <x:c r="E4" s="42">
        <x:v>1</x:v>
      </x:c>
      <x:c r="F4" s="42">
        <x:v>3</x:v>
      </x:c>
      <x:c r="G4" s="42">
        <x:v>0</x:v>
      </x:c>
      <x:c r="H4" s="42">
        <x:v>1</x:v>
      </x:c>
      <x:c r="I4" s="42">
        <x:v>0</x:v>
      </x:c>
      <x:c r="J4" s="44"/>
    </x:row>
    <x:row r="5">
      <x:c r="A5" s="42"/>
      <x:c r="B5" s="41"/>
      <x:c r="C5" s="43"/>
      <x:c r="D5" s="42"/>
      <x:c r="E5" s="42"/>
      <x:c r="F5" s="42"/>
      <x:c r="G5" s="42"/>
      <x:c r="H5" s="42"/>
      <x:c r="I5" s="42"/>
      <x:c r="J5" s="44"/>
    </x:row>
    <x:row r="6">
      <x:c r="A6" s="42"/>
      <x:c r="B6" s="42"/>
      <x:c r="C6" s="43"/>
      <x:c r="D6" s="42"/>
      <x:c r="E6" s="42"/>
      <x:c r="F6" s="42"/>
      <x:c r="G6" s="42"/>
      <x:c r="H6" s="42"/>
      <x:c r="I6" s="42"/>
      <x:c r="J6" s="44"/>
    </x:row>
    <x:row r="7">
      <x:c r="A7" s="41"/>
      <x:c r="B7" s="42"/>
      <x:c r="C7" s="43"/>
      <x:c r="D7" s="42"/>
      <x:c r="E7" s="42"/>
      <x:c r="F7" s="42"/>
      <x:c r="G7" s="42"/>
      <x:c r="H7" s="42"/>
      <x:c r="I7" s="42"/>
      <x:c r="J7" s="44"/>
    </x:row>
    <x:row r="8" ht="18.75">
      <x:c r="A8" s="195" t="s">
        <x:v>8</x:v>
      </x:c>
      <x:c r="B8" s="193"/>
      <x:c r="C8" s="193"/>
      <x:c r="D8" s="45" t="n">
        <x:f t="shared" ref="D8:I8" si="0">SUM(D3:D7)</x:f>
        <x:v>5</x:v>
      </x:c>
      <x:c r="E8" s="45">
        <x:f t="shared" si="0"/>
        <x:v>1</x:v>
      </x:c>
      <x:c r="F8" s="45">
        <x:f t="shared" si="0"/>
        <x:v>3</x:v>
      </x:c>
      <x:c r="G8" s="45">
        <x:f t="shared" si="0"/>
        <x:v>0</x:v>
      </x:c>
      <x:c r="H8" s="45">
        <x:f t="shared" si="0"/>
        <x:v>1</x:v>
      </x:c>
      <x:c r="I8" s="45">
        <x:f t="shared" si="0"/>
        <x:v>0</x:v>
      </x:c>
      <x:c r="J8" s="46"/>
    </x:row>
    <x:row r="9">
      <x:c r="A9" s="194" t="s">
        <x:v>126</x:v>
      </x:c>
      <x:c r="B9" s="193"/>
      <x:c r="C9" s="193"/>
      <x:c r="D9" s="47" t="n">
        <x:f t="shared" ref="D9:I9" si="1">IF($D$8=0,0,D8/$D$8)</x:f>
        <x:v>1</x:v>
      </x:c>
      <x:c r="E9" s="47">
        <x:f t="shared" si="1"/>
        <x:v>0.2</x:v>
      </x:c>
      <x:c r="F9" s="47">
        <x:f t="shared" si="1"/>
        <x:v>0.6</x:v>
      </x:c>
      <x:c r="G9" s="47">
        <x:f t="shared" si="1"/>
        <x:v>0</x:v>
      </x:c>
      <x:c r="H9" s="47">
        <x:f t="shared" si="1"/>
        <x:v>0.2</x:v>
      </x:c>
      <x:c r="I9" s="47">
        <x:f t="shared" si="1"/>
        <x:v>0</x:v>
      </x:c>
      <x:c r="J9" s="48"/>
    </x:row>
    <x:row r="10">
      <x:c r="A10" s="44"/>
      <x:c r="B10" s="44"/>
      <x:c r="C10" s="44"/>
      <x:c r="D10" s="44"/>
      <x:c r="E10" s="44"/>
      <x:c r="F10" s="44"/>
      <x:c r="G10" s="44"/>
      <x:c r="H10" s="44"/>
      <x:c r="I10" s="44"/>
      <x:c r="J10" s="44"/>
    </x:row>
    <x:row r="11" s="14" customFormat="1" ht="15.399999618530273" customHeight="1">
      <x:c r="A11" s="192" t="s">
        <x:v>127</x:v>
      </x:c>
      <x:c r="B11" s="193"/>
      <x:c r="C11" s="193"/>
      <x:c r="D11" s="193"/>
      <x:c r="E11" s="193"/>
      <x:c r="F11" s="193"/>
      <x:c r="G11" s="193"/>
      <x:c r="H11" s="193"/>
      <x:c r="I11" s="193"/>
      <x:c r="J11" s="193"/>
    </x:row>
    <x:row r="12">
      <x:c r="A12" s="40" t="s">
        <x:v>121</x:v>
      </x:c>
      <x:c r="B12" s="40" t="s">
        <x:v>122</x:v>
      </x:c>
      <x:c r="C12" s="40" t="s">
        <x:v>14</x:v>
      </x:c>
      <x:c r="D12" s="40" t="s">
        <x:v>17</x:v>
      </x:c>
      <x:c r="E12" s="40" t="s">
        <x:v>2</x:v>
      </x:c>
      <x:c r="F12" s="40" t="s">
        <x:v>3</x:v>
      </x:c>
      <x:c r="G12" s="40" t="s">
        <x:v>123</x:v>
      </x:c>
      <x:c r="H12" s="40" t="s">
        <x:v>6</x:v>
      </x:c>
      <x:c r="I12" s="40" t="s">
        <x:v>7</x:v>
      </x:c>
      <x:c r="J12" s="40" t="s">
        <x:v>18</x:v>
      </x:c>
    </x:row>
    <x:row r="13" ht="17.25">
      <x:c r="A13" s="41" t="s">
        <x:v>65</x:v>
      </x:c>
      <x:c r="B13" s="41" t="s">
        <x:v>128</x:v>
      </x:c>
      <x:c r="C13" s="43" t="s">
        <x:v>129</x:v>
      </x:c>
      <x:c r="D13" s="42">
        <x:v>4</x:v>
      </x:c>
      <x:c r="E13" s="42">
        <x:v>2</x:v>
      </x:c>
      <x:c r="F13" s="42">
        <x:v>2</x:v>
      </x:c>
      <x:c r="G13" s="42">
        <x:v>0</x:v>
      </x:c>
      <x:c r="H13" s="42">
        <x:v>0</x:v>
      </x:c>
      <x:c r="I13" s="42">
        <x:v>0</x:v>
      </x:c>
      <x:c r="J13" s="44"/>
    </x:row>
    <x:row r="14" ht="17.25">
      <x:c r="A14" s="41" t="s">
        <x:v>29</x:v>
      </x:c>
      <x:c r="B14" s="42" t="s">
        <x:v>130</x:v>
      </x:c>
      <x:c r="C14" s="43" t="s">
        <x:v>131</x:v>
      </x:c>
      <x:c r="D14" s="42">
        <x:v>8</x:v>
      </x:c>
      <x:c r="E14" s="42">
        <x:v>2</x:v>
      </x:c>
      <x:c r="F14" s="42">
        <x:v>4</x:v>
      </x:c>
      <x:c r="G14" s="42">
        <x:v>0</x:v>
      </x:c>
      <x:c r="H14" s="42">
        <x:v>2</x:v>
      </x:c>
      <x:c r="I14" s="42">
        <x:v>0</x:v>
      </x:c>
      <x:c r="J14" s="44"/>
    </x:row>
    <x:row r="15" ht="17.25">
      <x:c r="A15" s="42" t="str">
        <x:v>(주)국영타워랜드</x:v>
      </x:c>
      <x:c r="B15" s="42" t="str">
        <x:v>(주)대우건설</x:v>
      </x:c>
      <x:c r="C15" s="43" t="str">
        <x:v>동탄포레파크자연앤푸르지오</x:v>
      </x:c>
      <x:c r="D15" s="42" t="n">
        <x:v>6</x:v>
      </x:c>
      <x:c r="E15" s="42" t="n">
        <x:v>2</x:v>
      </x:c>
      <x:c r="F15" s="42" t="n">
        <x:v>2</x:v>
      </x:c>
      <x:c r="G15" s="42" t="n">
        <x:v>1</x:v>
      </x:c>
      <x:c r="H15" s="42" t="n">
        <x:v>1</x:v>
      </x:c>
      <x:c r="I15" s="42" t="n">
        <x:v>0</x:v>
      </x:c>
      <x:c r="J15" s="44"/>
    </x:row>
    <x:row r="16" ht="18.75">
      <x:c r="A16" s="195" t="s">
        <x:v>8</x:v>
      </x:c>
      <x:c r="B16" s="193"/>
      <x:c r="C16" s="193"/>
      <x:c r="D16" s="45" t="n">
        <x:f t="shared" ref="D16:I16" si="2">SUM(D13:D15)</x:f>
        <x:v>18</x:v>
      </x:c>
      <x:c r="E16" s="45" t="n">
        <x:f t="shared" si="2">SUM(E13:E15)</x:f>
        <x:v>6</x:v>
      </x:c>
      <x:c r="F16" s="45" t="n">
        <x:f t="shared" si="2">SUM(F13:F15)</x:f>
        <x:v>8</x:v>
      </x:c>
      <x:c r="G16" s="45" t="n">
        <x:f t="shared" si="2">SUM(G13:G15)</x:f>
        <x:v>1</x:v>
      </x:c>
      <x:c r="H16" s="45" t="n">
        <x:f t="shared" si="2">SUM(H13:H15)</x:f>
        <x:v>3</x:v>
      </x:c>
      <x:c r="I16" s="45" t="n">
        <x:f t="shared" si="2">SUM(I13:I15)</x:f>
        <x:v>0</x:v>
      </x:c>
      <x:c r="J16" s="46"/>
    </x:row>
    <x:row r="17">
      <x:c r="A17" s="194" t="s">
        <x:v>126</x:v>
      </x:c>
      <x:c r="B17" s="193"/>
      <x:c r="C17" s="193"/>
      <x:c r="D17" s="47" t="n">
        <x:f t="shared" ref="D17:I17" si="3">IF($D$16=0,0,D16/$D$16)</x:f>
        <x:v>1</x:v>
      </x:c>
      <x:c r="E17" s="47" t="n">
        <x:f t="shared" si="3">IF($D$16=0,0,E16/$D$16)</x:f>
        <x:v>0.3333333333333333</x:v>
      </x:c>
      <x:c r="F17" s="47" t="n">
        <x:f t="shared" si="3">IF($D$16=0,0,F16/$D$16)</x:f>
        <x:v>0.4444444444444444</x:v>
      </x:c>
      <x:c r="G17" s="47" t="n">
        <x:f t="shared" si="3">IF($D$16=0,0,G16/$D$16)</x:f>
        <x:v>0.05555555555555555</x:v>
      </x:c>
      <x:c r="H17" s="47" t="n">
        <x:f t="shared" si="3">IF($D$16=0,0,H16/$D$16)</x:f>
        <x:v>0.16666666666666666</x:v>
      </x:c>
      <x:c r="I17" s="47" t="n">
        <x:f t="shared" si="3">IF($D$16=0,0,I16/$D$16)</x:f>
        <x:v>0</x:v>
      </x:c>
      <x:c r="J17" s="48"/>
    </x:row>
    <x:row r="18">
      <x:c r="A18" s="44"/>
      <x:c r="B18" s="44"/>
      <x:c r="C18" s="44"/>
      <x:c r="D18" s="44"/>
      <x:c r="E18" s="44"/>
      <x:c r="F18" s="44"/>
      <x:c r="G18" s="44"/>
      <x:c r="H18" s="44"/>
      <x:c r="I18" s="44"/>
      <x:c r="J18" s="44"/>
    </x:row>
    <x:row r="19" s="14" customFormat="1" ht="15.399999618530273" customHeight="1">
      <x:c r="A19" s="192" t="s">
        <x:v>132</x:v>
      </x:c>
      <x:c r="B19" s="193"/>
      <x:c r="C19" s="193"/>
      <x:c r="D19" s="193"/>
      <x:c r="E19" s="193"/>
      <x:c r="F19" s="193"/>
      <x:c r="G19" s="193"/>
      <x:c r="H19" s="193"/>
      <x:c r="I19" s="193"/>
      <x:c r="J19" s="193"/>
    </x:row>
    <x:row r="20">
      <x:c r="A20" s="40" t="s">
        <x:v>121</x:v>
      </x:c>
      <x:c r="B20" s="40" t="s">
        <x:v>122</x:v>
      </x:c>
      <x:c r="C20" s="40" t="s">
        <x:v>14</x:v>
      </x:c>
      <x:c r="D20" s="40" t="s">
        <x:v>17</x:v>
      </x:c>
      <x:c r="E20" s="40" t="s">
        <x:v>2</x:v>
      </x:c>
      <x:c r="F20" s="40" t="s">
        <x:v>3</x:v>
      </x:c>
      <x:c r="G20" s="40" t="s">
        <x:v>123</x:v>
      </x:c>
      <x:c r="H20" s="40" t="s">
        <x:v>6</x:v>
      </x:c>
      <x:c r="I20" s="40" t="s">
        <x:v>7</x:v>
      </x:c>
      <x:c r="J20" s="40" t="s">
        <x:v>18</x:v>
      </x:c>
    </x:row>
    <x:row r="21" ht="17.25">
      <x:c r="A21" s="42"/>
      <x:c r="B21" s="42"/>
      <x:c r="C21" s="43"/>
      <x:c r="D21" s="42"/>
      <x:c r="E21" s="42"/>
      <x:c r="F21" s="42"/>
      <x:c r="G21" s="42"/>
      <x:c r="H21" s="42"/>
      <x:c r="I21" s="42"/>
      <x:c r="J21" s="44"/>
    </x:row>
    <x:row r="22" ht="17.25">
      <x:c r="A22" s="42"/>
      <x:c r="B22" s="41"/>
      <x:c r="C22" s="43"/>
      <x:c r="D22" s="42"/>
      <x:c r="E22" s="42"/>
      <x:c r="F22" s="42"/>
      <x:c r="G22" s="42"/>
      <x:c r="H22" s="42"/>
      <x:c r="I22" s="42"/>
      <x:c r="J22" s="44"/>
    </x:row>
    <x:row r="23" ht="17.25">
      <x:c r="A23" s="42" t="s">
        <x:v>43</x:v>
      </x:c>
      <x:c r="B23" s="41" t="s">
        <x:v>133</x:v>
      </x:c>
      <x:c r="C23" s="43" t="s">
        <x:v>134</x:v>
      </x:c>
      <x:c r="D23" s="42">
        <x:v>7</x:v>
      </x:c>
      <x:c r="E23" s="42">
        <x:v>2</x:v>
      </x:c>
      <x:c r="F23" s="42">
        <x:v>3</x:v>
      </x:c>
      <x:c r="G23" s="42">
        <x:v>1</x:v>
      </x:c>
      <x:c r="H23" s="42">
        <x:v>1</x:v>
      </x:c>
      <x:c r="I23" s="42">
        <x:v>0</x:v>
      </x:c>
      <x:c r="J23" s="44"/>
    </x:row>
    <x:row r="24" ht="17.25">
      <x:c r="A24" s="42" t="s">
        <x:v>74</x:v>
      </x:c>
      <x:c r="B24" s="41" t="s">
        <x:v>135</x:v>
      </x:c>
      <x:c r="C24" s="43" t="s">
        <x:v>136</x:v>
      </x:c>
      <x:c r="D24" s="42">
        <x:v>3</x:v>
      </x:c>
      <x:c r="E24" s="42">
        <x:v>1</x:v>
      </x:c>
      <x:c r="F24" s="42">
        <x:v>1</x:v>
      </x:c>
      <x:c r="G24" s="42">
        <x:v>1</x:v>
      </x:c>
      <x:c r="H24" s="42">
        <x:v>0</x:v>
      </x:c>
      <x:c r="I24" s="42">
        <x:v>0</x:v>
      </x:c>
      <x:c r="J24" s="44"/>
    </x:row>
    <x:row r="25" ht="17.25">
      <x:c r="A25" s="42" t="s">
        <x:v>45</x:v>
      </x:c>
      <x:c r="B25" s="41" t="s">
        <x:v>137</x:v>
      </x:c>
      <x:c r="C25" s="43" t="s">
        <x:v>138</x:v>
      </x:c>
      <x:c r="D25" s="42">
        <x:v>4</x:v>
      </x:c>
      <x:c r="E25" s="42">
        <x:v>1</x:v>
      </x:c>
      <x:c r="F25" s="42">
        <x:v>2</x:v>
      </x:c>
      <x:c r="G25" s="42">
        <x:v>0</x:v>
      </x:c>
      <x:c r="H25" s="42">
        <x:v>1</x:v>
      </x:c>
      <x:c r="I25" s="42">
        <x:v>0</x:v>
      </x:c>
      <x:c r="J25" s="44"/>
    </x:row>
    <x:row r="26" ht="17.25">
      <x:c r="A26" s="41" t="s">
        <x:v>21</x:v>
      </x:c>
      <x:c r="B26" s="41" t="s">
        <x:v>139</x:v>
      </x:c>
      <x:c r="C26" s="43" t="s">
        <x:v>140</x:v>
      </x:c>
      <x:c r="D26" s="42">
        <x:v>2</x:v>
      </x:c>
      <x:c r="E26" s="42">
        <x:v>1</x:v>
      </x:c>
      <x:c r="F26" s="42">
        <x:v>1</x:v>
      </x:c>
      <x:c r="G26" s="42">
        <x:v>0</x:v>
      </x:c>
      <x:c r="H26" s="42">
        <x:v>0</x:v>
      </x:c>
      <x:c r="I26" s="42">
        <x:v>0</x:v>
      </x:c>
      <x:c r="J26" s="44"/>
    </x:row>
    <x:row r="27" ht="18.75">
      <x:c r="A27" s="195" t="s">
        <x:v>8</x:v>
      </x:c>
      <x:c r="B27" s="193"/>
      <x:c r="C27" s="193"/>
      <x:c r="D27" s="45" t="n">
        <x:f t="shared" ref="D27:I27" si="4">SUM(D21:D26)</x:f>
        <x:v>16</x:v>
      </x:c>
      <x:c r="E27" s="45" t="n">
        <x:f t="shared" si="4">SUM(E21:E26)</x:f>
        <x:v>5</x:v>
      </x:c>
      <x:c r="F27" s="45" t="n">
        <x:f t="shared" si="4">SUM(F21:F26)</x:f>
        <x:v>7</x:v>
      </x:c>
      <x:c r="G27" s="45" t="n">
        <x:f t="shared" si="4">SUM(G21:G26)</x:f>
        <x:v>2</x:v>
      </x:c>
      <x:c r="H27" s="45" t="n">
        <x:f t="shared" si="4">SUM(H21:H26)</x:f>
        <x:v>2</x:v>
      </x:c>
      <x:c r="I27" s="45" t="n">
        <x:f t="shared" si="4">SUM(I21:I26)</x:f>
        <x:v>0</x:v>
      </x:c>
      <x:c r="J27" s="46"/>
    </x:row>
    <x:row r="28">
      <x:c r="A28" s="194" t="s">
        <x:v>126</x:v>
      </x:c>
      <x:c r="B28" s="193"/>
      <x:c r="C28" s="193"/>
      <x:c r="D28" s="47" t="n">
        <x:f t="shared" ref="D28:I28" si="5">IF($D$27=0,0,D27/$D$27)</x:f>
        <x:v>1</x:v>
      </x:c>
      <x:c r="E28" s="47" t="n">
        <x:f t="shared" si="5">IF($D$27=0,0,E27/$D$27)</x:f>
        <x:v>0.3125</x:v>
      </x:c>
      <x:c r="F28" s="47" t="n">
        <x:f t="shared" si="5">IF($D$27=0,0,F27/$D$27)</x:f>
        <x:v>0.4375</x:v>
      </x:c>
      <x:c r="G28" s="47" t="n">
        <x:f t="shared" si="5">IF($D$27=0,0,G27/$D$27)</x:f>
        <x:v>0.125</x:v>
      </x:c>
      <x:c r="H28" s="47" t="n">
        <x:f t="shared" si="5">IF($D$27=0,0,H27/$D$27)</x:f>
        <x:v>0.125</x:v>
      </x:c>
      <x:c r="I28" s="47" t="n">
        <x:f t="shared" si="5">IF($D$27=0,0,I27/$D$27)</x:f>
        <x:v>0</x:v>
      </x:c>
      <x:c r="J28" s="48"/>
    </x:row>
    <x:row r="29">
      <x:c r="A29" s="44"/>
      <x:c r="B29" s="44"/>
      <x:c r="C29" s="44"/>
      <x:c r="D29" s="44"/>
      <x:c r="E29" s="44"/>
      <x:c r="F29" s="44"/>
      <x:c r="G29" s="44"/>
      <x:c r="H29" s="44"/>
      <x:c r="I29" s="44"/>
      <x:c r="J29" s="44"/>
    </x:row>
    <x:row r="30" s="14" customFormat="1" ht="15.399999618530273" customHeight="1">
      <x:c r="A30" s="192" t="s">
        <x:v>141</x:v>
      </x:c>
      <x:c r="B30" s="193"/>
      <x:c r="C30" s="193"/>
      <x:c r="D30" s="193"/>
      <x:c r="E30" s="193"/>
      <x:c r="F30" s="193"/>
      <x:c r="G30" s="193"/>
      <x:c r="H30" s="193"/>
      <x:c r="I30" s="193"/>
      <x:c r="J30" s="193"/>
    </x:row>
    <x:row r="31">
      <x:c r="A31" s="40" t="s">
        <x:v>121</x:v>
      </x:c>
      <x:c r="B31" s="40" t="s">
        <x:v>122</x:v>
      </x:c>
      <x:c r="C31" s="40" t="s">
        <x:v>14</x:v>
      </x:c>
      <x:c r="D31" s="40" t="s">
        <x:v>17</x:v>
      </x:c>
      <x:c r="E31" s="40" t="s">
        <x:v>2</x:v>
      </x:c>
      <x:c r="F31" s="40" t="s">
        <x:v>3</x:v>
      </x:c>
      <x:c r="G31" s="40" t="s">
        <x:v>123</x:v>
      </x:c>
      <x:c r="H31" s="40" t="s">
        <x:v>6</x:v>
      </x:c>
      <x:c r="I31" s="40" t="s">
        <x:v>7</x:v>
      </x:c>
      <x:c r="J31" s="40" t="s">
        <x:v>18</x:v>
      </x:c>
    </x:row>
    <x:row r="32" ht="17.25">
      <x:c r="A32" s="42" t="str">
        <x:v>(주)썬타워</x:v>
      </x:c>
      <x:c r="B32" s="42" t="str">
        <x:v>(주)대우건설</x:v>
      </x:c>
      <x:c r="C32" s="43" t="str">
        <x:v>평택고덕A-56BL</x:v>
      </x:c>
      <x:c r="D32" s="42" t="n">
        <x:v>4</x:v>
      </x:c>
      <x:c r="E32" s="42" t="n">
        <x:v>1</x:v>
      </x:c>
      <x:c r="F32" s="42" t="n">
        <x:v>2</x:v>
      </x:c>
      <x:c r="G32" s="42" t="n">
        <x:v>1</x:v>
      </x:c>
      <x:c r="H32" s="42" t="n">
        <x:v>0</x:v>
      </x:c>
      <x:c r="I32" s="42" t="n">
        <x:v>0</x:v>
      </x:c>
      <x:c r="J32" s="44"/>
    </x:row>
    <x:row r="33" ht="17.25">
      <x:c r="A33" s="42" t="s">
        <x:v>33</x:v>
      </x:c>
      <x:c r="B33" s="42" t="s">
        <x:v>142</x:v>
      </x:c>
      <x:c r="C33" s="43" t="s">
        <x:v>143</x:v>
      </x:c>
      <x:c r="D33" s="42">
        <x:v>5</x:v>
      </x:c>
      <x:c r="E33" s="42">
        <x:v>1</x:v>
      </x:c>
      <x:c r="F33" s="42">
        <x:v>2</x:v>
      </x:c>
      <x:c r="G33" s="42">
        <x:v>1</x:v>
      </x:c>
      <x:c r="H33" s="42">
        <x:v>1</x:v>
      </x:c>
      <x:c r="I33" s="42">
        <x:v>0</x:v>
      </x:c>
      <x:c r="J33" s="44"/>
    </x:row>
    <x:row r="34" ht="17.25">
      <x:c r="A34" s="42"/>
      <x:c r="B34" s="41"/>
      <x:c r="C34" s="43"/>
      <x:c r="D34" s="42"/>
      <x:c r="E34" s="42"/>
      <x:c r="F34" s="42"/>
      <x:c r="G34" s="42"/>
      <x:c r="H34" s="42"/>
      <x:c r="I34" s="42"/>
      <x:c r="J34" s="44"/>
    </x:row>
    <x:row r="35" ht="17.25">
      <x:c r="A35" s="41" t="s">
        <x:v>53</x:v>
      </x:c>
      <x:c r="B35" s="41" t="s">
        <x:v>144</x:v>
      </x:c>
      <x:c r="C35" s="43" t="s">
        <x:v>145</x:v>
      </x:c>
      <x:c r="D35" s="42">
        <x:v>2</x:v>
      </x:c>
      <x:c r="E35" s="42">
        <x:v>1</x:v>
      </x:c>
      <x:c r="F35" s="42">
        <x:v>1</x:v>
      </x:c>
      <x:c r="G35" s="42">
        <x:v>0</x:v>
      </x:c>
      <x:c r="H35" s="42">
        <x:v>0</x:v>
      </x:c>
      <x:c r="I35" s="42">
        <x:v>0</x:v>
      </x:c>
      <x:c r="J35" s="44"/>
    </x:row>
    <x:row r="36" ht="17.25">
      <x:c r="A36" s="41" t="s">
        <x:v>41</x:v>
      </x:c>
      <x:c r="B36" s="41" t="s">
        <x:v>124</x:v>
      </x:c>
      <x:c r="C36" s="43" t="s">
        <x:v>146</x:v>
      </x:c>
      <x:c r="D36" s="42">
        <x:v>2</x:v>
      </x:c>
      <x:c r="E36" s="42">
        <x:v>1</x:v>
      </x:c>
      <x:c r="F36" s="42">
        <x:v>1</x:v>
      </x:c>
      <x:c r="G36" s="42">
        <x:v>0</x:v>
      </x:c>
      <x:c r="H36" s="42">
        <x:v>0</x:v>
      </x:c>
      <x:c r="I36" s="42">
        <x:v>0</x:v>
      </x:c>
      <x:c r="J36" s="44"/>
    </x:row>
    <x:row r="37" ht="17.25">
      <x:c r="A37" s="41" t="s">
        <x:v>41</x:v>
      </x:c>
      <x:c r="B37" s="42" t="s">
        <x:v>142</x:v>
      </x:c>
      <x:c r="C37" s="43" t="s">
        <x:v>147</x:v>
      </x:c>
      <x:c r="D37" s="42">
        <x:v>4</x:v>
      </x:c>
      <x:c r="E37" s="42">
        <x:v>1</x:v>
      </x:c>
      <x:c r="F37" s="42">
        <x:v>2</x:v>
      </x:c>
      <x:c r="G37" s="42">
        <x:v>0</x:v>
      </x:c>
      <x:c r="H37" s="42">
        <x:v>1</x:v>
      </x:c>
      <x:c r="I37" s="42">
        <x:v>0</x:v>
      </x:c>
      <x:c r="J37" s="44"/>
    </x:row>
    <x:row r="38" ht="18.75">
      <x:c r="A38" s="195" t="s">
        <x:v>8</x:v>
      </x:c>
      <x:c r="B38" s="193"/>
      <x:c r="C38" s="193"/>
      <x:c r="D38" s="45" t="n">
        <x:f t="shared" ref="D38:I38" si="6">SUM(D32:D37)</x:f>
        <x:v>17</x:v>
      </x:c>
      <x:c r="E38" s="45" t="n">
        <x:f t="shared" si="6">SUM(E32:E37)</x:f>
        <x:v>5</x:v>
      </x:c>
      <x:c r="F38" s="45" t="n">
        <x:f t="shared" si="6">SUM(F32:F37)</x:f>
        <x:v>8</x:v>
      </x:c>
      <x:c r="G38" s="45" t="n">
        <x:f t="shared" si="6">SUM(G32:G37)</x:f>
        <x:v>2</x:v>
      </x:c>
      <x:c r="H38" s="45" t="n">
        <x:f t="shared" si="6">SUM(H32:H37)</x:f>
        <x:v>2</x:v>
      </x:c>
      <x:c r="I38" s="45" t="n">
        <x:f t="shared" si="6">SUM(I32:I37)</x:f>
        <x:v>0</x:v>
      </x:c>
      <x:c r="J38" s="46"/>
    </x:row>
    <x:row r="39">
      <x:c r="A39" s="194" t="s">
        <x:v>126</x:v>
      </x:c>
      <x:c r="B39" s="193"/>
      <x:c r="C39" s="193"/>
      <x:c r="D39" s="47" t="n">
        <x:f t="shared" ref="D39:I39" si="7">IF($D$38=0,0,D38/$D$38)</x:f>
        <x:v>1</x:v>
      </x:c>
      <x:c r="E39" s="47" t="n">
        <x:f t="shared" si="7">IF($D$38=0,0,E38/$D$38)</x:f>
        <x:v>0.29411764705882354</x:v>
      </x:c>
      <x:c r="F39" s="47" t="n">
        <x:f t="shared" si="7">IF($D$38=0,0,F38/$D$38)</x:f>
        <x:v>0.47058823529411764</x:v>
      </x:c>
      <x:c r="G39" s="47" t="n">
        <x:f t="shared" si="7">IF($D$38=0,0,G38/$D$38)</x:f>
        <x:v>0.11764705882352941</x:v>
      </x:c>
      <x:c r="H39" s="47" t="n">
        <x:f t="shared" si="7">IF($D$38=0,0,H38/$D$38)</x:f>
        <x:v>0.11764705882352941</x:v>
      </x:c>
      <x:c r="I39" s="47" t="n">
        <x:f t="shared" si="7">IF($D$38=0,0,I38/$D$38)</x:f>
        <x:v>0</x:v>
      </x:c>
      <x:c r="J39" s="48"/>
    </x:row>
    <x:row r="40">
      <x:c r="A40" s="44"/>
      <x:c r="B40" s="44"/>
      <x:c r="C40" s="44"/>
      <x:c r="D40" s="44"/>
      <x:c r="E40" s="44"/>
      <x:c r="F40" s="44"/>
      <x:c r="G40" s="44"/>
      <x:c r="H40" s="44"/>
      <x:c r="I40" s="44"/>
      <x:c r="J40" s="44"/>
    </x:row>
    <x:row r="41" s="14" customFormat="1" ht="15.399999618530273" customHeight="1">
      <x:c r="A41" s="192" t="s">
        <x:v>148</x:v>
      </x:c>
      <x:c r="B41" s="193"/>
      <x:c r="C41" s="193"/>
      <x:c r="D41" s="193"/>
      <x:c r="E41" s="193"/>
      <x:c r="F41" s="193"/>
      <x:c r="G41" s="193"/>
      <x:c r="H41" s="193"/>
      <x:c r="I41" s="193"/>
      <x:c r="J41" s="193"/>
    </x:row>
    <x:row r="42">
      <x:c r="A42" s="40" t="s">
        <x:v>121</x:v>
      </x:c>
      <x:c r="B42" s="40" t="s">
        <x:v>122</x:v>
      </x:c>
      <x:c r="C42" s="40" t="s">
        <x:v>14</x:v>
      </x:c>
      <x:c r="D42" s="40" t="s">
        <x:v>17</x:v>
      </x:c>
      <x:c r="E42" s="40" t="s">
        <x:v>2</x:v>
      </x:c>
      <x:c r="F42" s="40" t="s">
        <x:v>3</x:v>
      </x:c>
      <x:c r="G42" s="40" t="s">
        <x:v>123</x:v>
      </x:c>
      <x:c r="H42" s="40" t="s">
        <x:v>6</x:v>
      </x:c>
      <x:c r="I42" s="40" t="s">
        <x:v>7</x:v>
      </x:c>
      <x:c r="J42" s="40" t="s">
        <x:v>18</x:v>
      </x:c>
    </x:row>
    <x:row r="43">
      <x:c r="A43" s="41" t="s">
        <x:v>66</x:v>
      </x:c>
      <x:c r="B43" s="38" t="s">
        <x:v>139</x:v>
      </x:c>
      <x:c r="C43" s="38" t="s">
        <x:v>149</x:v>
      </x:c>
      <x:c r="D43" s="49">
        <x:v>4</x:v>
      </x:c>
      <x:c r="E43" s="50">
        <x:v>1</x:v>
      </x:c>
      <x:c r="F43" s="50">
        <x:v>2</x:v>
      </x:c>
      <x:c r="G43" s="50">
        <x:v>1</x:v>
      </x:c>
      <x:c r="H43" s="50">
        <x:v>0</x:v>
      </x:c>
      <x:c r="I43" s="38">
        <x:v>0</x:v>
      </x:c>
      <x:c r="J43" s="44"/>
    </x:row>
    <x:row r="44" ht="17.25">
      <x:c r="A44" s="41" t="s">
        <x:v>69</x:v>
      </x:c>
      <x:c r="B44" s="41" t="s">
        <x:v>150</x:v>
      </x:c>
      <x:c r="C44" s="43" t="s">
        <x:v>151</x:v>
      </x:c>
      <x:c r="D44" s="42">
        <x:v>4</x:v>
      </x:c>
      <x:c r="E44" s="42">
        <x:v>1</x:v>
      </x:c>
      <x:c r="F44" s="42">
        <x:v>1</x:v>
      </x:c>
      <x:c r="G44" s="42">
        <x:v>0</x:v>
      </x:c>
      <x:c r="H44" s="42">
        <x:v>2</x:v>
      </x:c>
      <x:c r="I44" s="42">
        <x:v>0</x:v>
      </x:c>
      <x:c r="J44" s="44"/>
    </x:row>
    <x:row r="45" ht="17.25">
      <x:c r="A45" s="42" t="str">
        <x:v>(주)한백산업</x:v>
      </x:c>
      <x:c r="B45" s="41" t="str">
        <x:v>디엘이앤씨(주)</x:v>
      </x:c>
      <x:c r="C45" s="43" t="str">
        <x:v>안양에버포레자연&amp;e편한세상</x:v>
      </x:c>
      <x:c r="D45" s="42" t="n">
        <x:v>6</x:v>
      </x:c>
      <x:c r="E45" s="42" t="n">
        <x:v>2</x:v>
      </x:c>
      <x:c r="F45" s="42" t="n">
        <x:v>3</x:v>
      </x:c>
      <x:c r="G45" s="42" t="n">
        <x:v>0</x:v>
      </x:c>
      <x:c r="H45" s="42" t="n">
        <x:v>1</x:v>
      </x:c>
      <x:c r="I45" s="42" t="n">
        <x:v>0</x:v>
      </x:c>
      <x:c r="J45" s="44"/>
    </x:row>
    <x:row r="46" ht="17.25">
      <x:c r="A46" s="41" t="s">
        <x:v>58</x:v>
      </x:c>
      <x:c r="B46" s="41" t="s">
        <x:v>152</x:v>
      </x:c>
      <x:c r="C46" s="43" t="s">
        <x:v>153</x:v>
      </x:c>
      <x:c r="D46" s="42">
        <x:v>5</x:v>
      </x:c>
      <x:c r="E46" s="42">
        <x:v>1</x:v>
      </x:c>
      <x:c r="F46" s="42">
        <x:v>2</x:v>
      </x:c>
      <x:c r="G46" s="42">
        <x:v>0</x:v>
      </x:c>
      <x:c r="H46" s="42">
        <x:v>2</x:v>
      </x:c>
      <x:c r="I46" s="42">
        <x:v>0</x:v>
      </x:c>
      <x:c r="J46" s="44"/>
    </x:row>
    <x:row r="47" ht="18.75">
      <x:c r="A47" s="195" t="s">
        <x:v>8</x:v>
      </x:c>
      <x:c r="B47" s="193"/>
      <x:c r="C47" s="193"/>
      <x:c r="D47" s="45" t="n">
        <x:f t="shared" ref="D47:I47" si="8">SUM(D43:D46)</x:f>
        <x:v>19</x:v>
      </x:c>
      <x:c r="E47" s="45" t="n">
        <x:f t="shared" si="8">SUM(E43:E46)</x:f>
        <x:v>5</x:v>
      </x:c>
      <x:c r="F47" s="45" t="n">
        <x:f t="shared" si="8">SUM(F43:F46)</x:f>
        <x:v>8</x:v>
      </x:c>
      <x:c r="G47" s="45" t="n">
        <x:f t="shared" si="8">SUM(G43:G46)</x:f>
        <x:v>1</x:v>
      </x:c>
      <x:c r="H47" s="45" t="n">
        <x:f t="shared" si="8">SUM(H43:H46)</x:f>
        <x:v>5</x:v>
      </x:c>
      <x:c r="I47" s="45" t="n">
        <x:f t="shared" si="8">SUM(I43:I46)</x:f>
        <x:v>0</x:v>
      </x:c>
      <x:c r="J47" s="46"/>
    </x:row>
    <x:row r="48">
      <x:c r="A48" s="194" t="s">
        <x:v>126</x:v>
      </x:c>
      <x:c r="B48" s="193"/>
      <x:c r="C48" s="193"/>
      <x:c r="D48" s="47" t="n">
        <x:f t="shared" ref="D48:I48" si="9">IF($D$47=0,0,D47/$D$47)</x:f>
        <x:v>1</x:v>
      </x:c>
      <x:c r="E48" s="47" t="n">
        <x:f t="shared" si="9">IF($D$47=0,0,E47/$D$47)</x:f>
        <x:v>0.2631578947368421</x:v>
      </x:c>
      <x:c r="F48" s="47" t="n">
        <x:f t="shared" si="9">IF($D$47=0,0,F47/$D$47)</x:f>
        <x:v>0.42105263157894735</x:v>
      </x:c>
      <x:c r="G48" s="47" t="n">
        <x:f t="shared" si="9">IF($D$47=0,0,G47/$D$47)</x:f>
        <x:v>0.05263157894736842</x:v>
      </x:c>
      <x:c r="H48" s="47" t="n">
        <x:f t="shared" si="9">IF($D$47=0,0,H47/$D$47)</x:f>
        <x:v>0.2631578947368421</x:v>
      </x:c>
      <x:c r="I48" s="47" t="n">
        <x:f t="shared" si="9">IF($D$47=0,0,I47/$D$47)</x:f>
        <x:v>0</x:v>
      </x:c>
      <x:c r="J48" s="48"/>
    </x:row>
    <x:row r="49">
      <x:c r="A49" s="44"/>
      <x:c r="B49" s="44"/>
      <x:c r="C49" s="44"/>
      <x:c r="D49" s="44"/>
      <x:c r="E49" s="44"/>
      <x:c r="F49" s="44"/>
      <x:c r="G49" s="44"/>
      <x:c r="H49" s="44"/>
      <x:c r="I49" s="44"/>
      <x:c r="J49" s="44"/>
    </x:row>
    <x:row r="50" s="14" customFormat="1" ht="15.399999618530273" customHeight="1">
      <x:c r="A50" s="192" t="s">
        <x:v>154</x:v>
      </x:c>
      <x:c r="B50" s="193"/>
      <x:c r="C50" s="193"/>
      <x:c r="D50" s="193"/>
      <x:c r="E50" s="193"/>
      <x:c r="F50" s="193"/>
      <x:c r="G50" s="193"/>
      <x:c r="H50" s="193"/>
      <x:c r="I50" s="193"/>
      <x:c r="J50" s="193"/>
    </x:row>
    <x:row r="51">
      <x:c r="A51" s="40" t="s">
        <x:v>121</x:v>
      </x:c>
      <x:c r="B51" s="40" t="s">
        <x:v>122</x:v>
      </x:c>
      <x:c r="C51" s="40" t="s">
        <x:v>14</x:v>
      </x:c>
      <x:c r="D51" s="40" t="s">
        <x:v>17</x:v>
      </x:c>
      <x:c r="E51" s="40" t="s">
        <x:v>2</x:v>
      </x:c>
      <x:c r="F51" s="40" t="s">
        <x:v>3</x:v>
      </x:c>
      <x:c r="G51" s="40" t="s">
        <x:v>123</x:v>
      </x:c>
      <x:c r="H51" s="40" t="s">
        <x:v>6</x:v>
      </x:c>
      <x:c r="I51" s="40" t="s">
        <x:v>7</x:v>
      </x:c>
      <x:c r="J51" s="40" t="s">
        <x:v>18</x:v>
      </x:c>
    </x:row>
    <x:row r="52">
      <x:c r="A52" s="42" t="s">
        <x:v>70</x:v>
      </x:c>
      <x:c r="B52" s="38" t="s">
        <x:v>152</x:v>
      </x:c>
      <x:c r="C52" s="38" t="s">
        <x:v>155</x:v>
      </x:c>
      <x:c r="D52" s="49">
        <x:v>4</x:v>
      </x:c>
      <x:c r="E52" s="50">
        <x:v>1</x:v>
      </x:c>
      <x:c r="F52" s="50">
        <x:v>1</x:v>
      </x:c>
      <x:c r="G52" s="50">
        <x:v>0</x:v>
      </x:c>
      <x:c r="H52" s="50">
        <x:v>2</x:v>
      </x:c>
      <x:c r="I52" s="44">
        <x:v>0</x:v>
      </x:c>
      <x:c r="J52" s="44"/>
    </x:row>
    <x:row r="53" ht="17.25">
      <x:c r="A53" s="42" t="s">
        <x:v>37</x:v>
      </x:c>
      <x:c r="B53" s="42" t="s">
        <x:v>156</x:v>
      </x:c>
      <x:c r="C53" s="43" t="s">
        <x:v>157</x:v>
      </x:c>
      <x:c r="D53" s="42">
        <x:v>6</x:v>
      </x:c>
      <x:c r="E53" s="42">
        <x:v>2</x:v>
      </x:c>
      <x:c r="F53" s="42">
        <x:v>3</x:v>
      </x:c>
      <x:c r="G53" s="42">
        <x:v>0</x:v>
      </x:c>
      <x:c r="H53" s="42">
        <x:v>1</x:v>
      </x:c>
      <x:c r="I53" s="42">
        <x:v>0</x:v>
      </x:c>
      <x:c r="J53" s="44"/>
    </x:row>
    <x:row r="54" ht="17.25">
      <x:c r="A54" s="41" t="s">
        <x:v>71</x:v>
      </x:c>
      <x:c r="B54" s="42" t="s">
        <x:v>158</x:v>
      </x:c>
      <x:c r="C54" s="43" t="s">
        <x:v>159</x:v>
      </x:c>
      <x:c r="D54" s="42">
        <x:v>1</x:v>
      </x:c>
      <x:c r="E54" s="42">
        <x:v>1</x:v>
      </x:c>
      <x:c r="F54" s="42">
        <x:v>0</x:v>
      </x:c>
      <x:c r="G54" s="42">
        <x:v>0</x:v>
      </x:c>
      <x:c r="H54" s="42">
        <x:v>0</x:v>
      </x:c>
      <x:c r="I54" s="42">
        <x:v>0</x:v>
      </x:c>
      <x:c r="J54" s="44"/>
    </x:row>
    <x:row r="55" ht="17.25">
      <x:c r="A55" s="42" t="s">
        <x:v>72</x:v>
      </x:c>
      <x:c r="B55" s="41" t="s">
        <x:v>160</x:v>
      </x:c>
      <x:c r="C55" s="43" t="s">
        <x:v>161</x:v>
      </x:c>
      <x:c r="D55" s="42">
        <x:v>3</x:v>
      </x:c>
      <x:c r="E55" s="42">
        <x:v>1</x:v>
      </x:c>
      <x:c r="F55" s="42">
        <x:v>1</x:v>
      </x:c>
      <x:c r="G55" s="42">
        <x:v>0</x:v>
      </x:c>
      <x:c r="H55" s="42">
        <x:v>1</x:v>
      </x:c>
      <x:c r="I55" s="42">
        <x:v>0</x:v>
      </x:c>
      <x:c r="J55" s="44"/>
    </x:row>
    <x:row r="56" ht="17.25">
      <x:c r="A56" s="41" t="s">
        <x:v>49</x:v>
      </x:c>
      <x:c r="B56" s="42" t="s">
        <x:v>162</x:v>
      </x:c>
      <x:c r="C56" s="43" t="s">
        <x:v>163</x:v>
      </x:c>
      <x:c r="D56" s="42">
        <x:v>2</x:v>
      </x:c>
      <x:c r="E56" s="42">
        <x:v>1</x:v>
      </x:c>
      <x:c r="F56" s="42">
        <x:v>1</x:v>
      </x:c>
      <x:c r="G56" s="42">
        <x:v>0</x:v>
      </x:c>
      <x:c r="H56" s="42">
        <x:v>0</x:v>
      </x:c>
      <x:c r="I56" s="42">
        <x:v>0</x:v>
      </x:c>
      <x:c r="J56" s="44"/>
    </x:row>
    <x:row r="57" ht="17.25">
      <x:c r="A57" s="41" t="s">
        <x:v>65</x:v>
      </x:c>
      <x:c r="B57" s="41" t="s">
        <x:v>164</x:v>
      </x:c>
      <x:c r="C57" s="43" t="s">
        <x:v>165</x:v>
      </x:c>
      <x:c r="D57" s="42">
        <x:v>4</x:v>
      </x:c>
      <x:c r="E57" s="42">
        <x:v>2</x:v>
      </x:c>
      <x:c r="F57" s="42">
        <x:v>1</x:v>
      </x:c>
      <x:c r="G57" s="42">
        <x:v>1</x:v>
      </x:c>
      <x:c r="H57" s="42">
        <x:v>0</x:v>
      </x:c>
      <x:c r="I57" s="42">
        <x:v>0</x:v>
      </x:c>
      <x:c r="J57" s="44"/>
    </x:row>
    <x:row r="58" ht="17.25">
      <x:c r="A58" s="42" t="s">
        <x:v>67</x:v>
      </x:c>
      <x:c r="B58" s="41" t="s">
        <x:v>166</x:v>
      </x:c>
      <x:c r="C58" s="43" t="s">
        <x:v>167</x:v>
      </x:c>
      <x:c r="D58" s="42">
        <x:v>7</x:v>
      </x:c>
      <x:c r="E58" s="42">
        <x:v>2</x:v>
      </x:c>
      <x:c r="F58" s="42">
        <x:v>3</x:v>
      </x:c>
      <x:c r="G58" s="42">
        <x:v>1</x:v>
      </x:c>
      <x:c r="H58" s="42">
        <x:v>1</x:v>
      </x:c>
      <x:c r="I58" s="42">
        <x:v>0</x:v>
      </x:c>
      <x:c r="J58" s="44"/>
    </x:row>
    <x:row r="59" ht="17.25">
      <x:c r="A59" s="42" t="s">
        <x:v>68</x:v>
      </x:c>
      <x:c r="B59" s="42" t="s">
        <x:v>142</x:v>
      </x:c>
      <x:c r="C59" s="43" t="s">
        <x:v>168</x:v>
      </x:c>
      <x:c r="D59" s="42">
        <x:v>4</x:v>
      </x:c>
      <x:c r="E59" s="42">
        <x:v>1</x:v>
      </x:c>
      <x:c r="F59" s="42">
        <x:v>2</x:v>
      </x:c>
      <x:c r="G59" s="42">
        <x:v>0</x:v>
      </x:c>
      <x:c r="H59" s="42">
        <x:v>1</x:v>
      </x:c>
      <x:c r="I59" s="42">
        <x:v>0</x:v>
      </x:c>
      <x:c r="J59" s="44"/>
    </x:row>
    <x:row r="60" ht="17.25">
      <x:c r="A60" s="41" t="s">
        <x:v>65</x:v>
      </x:c>
      <x:c r="B60" s="42" t="s">
        <x:v>169</x:v>
      </x:c>
      <x:c r="C60" s="43" t="s">
        <x:v>170</x:v>
      </x:c>
      <x:c r="D60" s="42">
        <x:v>6</x:v>
      </x:c>
      <x:c r="E60" s="42">
        <x:v>1</x:v>
      </x:c>
      <x:c r="F60" s="42">
        <x:v>2</x:v>
      </x:c>
      <x:c r="G60" s="42">
        <x:v>2</x:v>
      </x:c>
      <x:c r="H60" s="42">
        <x:v>1</x:v>
      </x:c>
      <x:c r="I60" s="42">
        <x:v>0</x:v>
      </x:c>
      <x:c r="J60" s="44"/>
    </x:row>
    <x:row r="61" ht="17.25">
      <x:c r="A61" s="41" t="s">
        <x:v>66</x:v>
      </x:c>
      <x:c r="B61" s="41" t="s">
        <x:v>171</x:v>
      </x:c>
      <x:c r="C61" s="43" t="s">
        <x:v>172</x:v>
      </x:c>
      <x:c r="D61" s="42">
        <x:v>2</x:v>
      </x:c>
      <x:c r="E61" s="42">
        <x:v>1</x:v>
      </x:c>
      <x:c r="F61" s="42">
        <x:v>1</x:v>
      </x:c>
      <x:c r="G61" s="42">
        <x:v>0</x:v>
      </x:c>
      <x:c r="H61" s="42">
        <x:v>0</x:v>
      </x:c>
      <x:c r="I61" s="42">
        <x:v>0</x:v>
      </x:c>
      <x:c r="J61" s="44"/>
    </x:row>
    <x:row r="62" ht="17.25">
      <x:c r="A62" s="41" t="s">
        <x:v>35</x:v>
      </x:c>
      <x:c r="B62" s="42" t="s">
        <x:v>173</x:v>
      </x:c>
      <x:c r="C62" s="43" t="s">
        <x:v>174</x:v>
      </x:c>
      <x:c r="D62" s="42">
        <x:v>3</x:v>
      </x:c>
      <x:c r="E62" s="42">
        <x:v>1</x:v>
      </x:c>
      <x:c r="F62" s="42">
        <x:v>1</x:v>
      </x:c>
      <x:c r="G62" s="42">
        <x:v>0</x:v>
      </x:c>
      <x:c r="H62" s="42">
        <x:v>1</x:v>
      </x:c>
      <x:c r="I62" s="42">
        <x:v>0</x:v>
      </x:c>
      <x:c r="J62" s="44"/>
    </x:row>
    <x:row r="63" ht="17.25">
      <x:c r="A63" s="42" t="str">
        <x:v>(주)탑랜드타워</x:v>
      </x:c>
      <x:c r="B63" s="41" t="str">
        <x:v>금호건설(주)</x:v>
      </x:c>
      <x:c r="C63" s="43" t="str">
        <x:v>고덕신도시아테라</x:v>
      </x:c>
      <x:c r="D63" s="42" t="n">
        <x:v>4</x:v>
      </x:c>
      <x:c r="E63" s="42" t="n">
        <x:v>1</x:v>
      </x:c>
      <x:c r="F63" s="42" t="n">
        <x:v>2</x:v>
      </x:c>
      <x:c r="G63" s="42" t="n">
        <x:v>0</x:v>
      </x:c>
      <x:c r="H63" s="42" t="n">
        <x:v>1</x:v>
      </x:c>
      <x:c r="I63" s="42" t="n">
        <x:v>0</x:v>
      </x:c>
      <x:c r="J63" s="44"/>
    </x:row>
    <x:row r="64" ht="18.75">
      <x:c r="A64" s="195" t="s">
        <x:v>8</x:v>
      </x:c>
      <x:c r="B64" s="193"/>
      <x:c r="C64" s="193"/>
      <x:c r="D64" s="45" t="n">
        <x:f t="shared" ref="D64:I64" si="10">SUM(D52:D63)</x:f>
        <x:v>46</x:v>
      </x:c>
      <x:c r="E64" s="45" t="n">
        <x:f t="shared" si="10">SUM(E52:E63)</x:f>
        <x:v>15</x:v>
      </x:c>
      <x:c r="F64" s="45" t="n">
        <x:f t="shared" si="10">SUM(F52:F63)</x:f>
        <x:v>18</x:v>
      </x:c>
      <x:c r="G64" s="45" t="n">
        <x:f t="shared" si="10">SUM(G52:G63)</x:f>
        <x:v>4</x:v>
      </x:c>
      <x:c r="H64" s="45" t="n">
        <x:f t="shared" si="10">SUM(H52:H63)</x:f>
        <x:v>9</x:v>
      </x:c>
      <x:c r="I64" s="45" t="n">
        <x:f t="shared" si="10">SUM(I52:I63)</x:f>
        <x:v>0</x:v>
      </x:c>
      <x:c r="J64" s="46"/>
    </x:row>
    <x:row r="65">
      <x:c r="A65" s="194" t="s">
        <x:v>126</x:v>
      </x:c>
      <x:c r="B65" s="193"/>
      <x:c r="C65" s="193"/>
      <x:c r="D65" s="47" t="n">
        <x:f t="shared" ref="D65:I65" si="11">IF($D$64=0,0,D64/$D$64)</x:f>
        <x:v>1</x:v>
      </x:c>
      <x:c r="E65" s="47" t="n">
        <x:f t="shared" si="11">IF($D$64=0,0,E64/$D$64)</x:f>
        <x:v>0.32608695652173914</x:v>
      </x:c>
      <x:c r="F65" s="47" t="n">
        <x:f t="shared" si="11">IF($D$64=0,0,F64/$D$64)</x:f>
        <x:v>0.391304347826087</x:v>
      </x:c>
      <x:c r="G65" s="47" t="n">
        <x:f t="shared" si="11">IF($D$64=0,0,G64/$D$64)</x:f>
        <x:v>0.08695652173913043</x:v>
      </x:c>
      <x:c r="H65" s="47" t="n">
        <x:f t="shared" si="11">IF($D$64=0,0,H64/$D$64)</x:f>
        <x:v>0.1956521739130435</x:v>
      </x:c>
      <x:c r="I65" s="47" t="n">
        <x:f t="shared" si="11">IF($D$64=0,0,I64/$D$64)</x:f>
        <x:v>0</x:v>
      </x:c>
      <x:c r="J65" s="48"/>
    </x:row>
    <x:row r="66">
      <x:c r="A66" s="44"/>
      <x:c r="B66" s="44"/>
      <x:c r="C66" s="44"/>
      <x:c r="D66" s="44"/>
      <x:c r="E66" s="44"/>
      <x:c r="F66" s="44"/>
      <x:c r="G66" s="44"/>
      <x:c r="H66" s="44"/>
      <x:c r="I66" s="44"/>
      <x:c r="J66" s="44"/>
    </x:row>
    <x:row r="67" s="14" customFormat="1" ht="15.399999618530273" customHeight="1">
      <x:c r="A67" s="192" t="s">
        <x:v>175</x:v>
      </x:c>
      <x:c r="B67" s="193"/>
      <x:c r="C67" s="193"/>
      <x:c r="D67" s="193"/>
      <x:c r="E67" s="193"/>
      <x:c r="F67" s="193"/>
      <x:c r="G67" s="193"/>
      <x:c r="H67" s="193"/>
      <x:c r="I67" s="193"/>
      <x:c r="J67" s="193"/>
    </x:row>
    <x:row r="68">
      <x:c r="A68" s="40" t="s">
        <x:v>121</x:v>
      </x:c>
      <x:c r="B68" s="40" t="s">
        <x:v>122</x:v>
      </x:c>
      <x:c r="C68" s="40" t="s">
        <x:v>14</x:v>
      </x:c>
      <x:c r="D68" s="40" t="s">
        <x:v>17</x:v>
      </x:c>
      <x:c r="E68" s="40" t="s">
        <x:v>2</x:v>
      </x:c>
      <x:c r="F68" s="40" t="s">
        <x:v>3</x:v>
      </x:c>
      <x:c r="G68" s="40" t="s">
        <x:v>123</x:v>
      </x:c>
      <x:c r="H68" s="40" t="s">
        <x:v>6</x:v>
      </x:c>
      <x:c r="I68" s="40" t="s">
        <x:v>7</x:v>
      </x:c>
      <x:c r="J68" s="40" t="s">
        <x:v>18</x:v>
      </x:c>
    </x:row>
    <x:row r="69">
      <x:c r="A69" s="41"/>
      <x:c r="B69" s="38"/>
      <x:c r="C69" s="38"/>
      <x:c r="D69" s="168"/>
      <x:c r="E69" s="169"/>
      <x:c r="F69" s="169"/>
      <x:c r="G69" s="169"/>
      <x:c r="H69" s="169"/>
      <x:c r="I69" s="170"/>
      <x:c r="J69" s="44"/>
    </x:row>
    <x:row r="70" ht="17.25">
      <x:c r="A70" s="41" t="s">
        <x:v>66</x:v>
      </x:c>
      <x:c r="B70" s="42" t="s">
        <x:v>142</x:v>
      </x:c>
      <x:c r="C70" s="43" t="s">
        <x:v>176</x:v>
      </x:c>
      <x:c r="D70" s="42">
        <x:v>4</x:v>
      </x:c>
      <x:c r="E70" s="42">
        <x:v>1</x:v>
      </x:c>
      <x:c r="F70" s="42">
        <x:v>2</x:v>
      </x:c>
      <x:c r="G70" s="42">
        <x:v>1</x:v>
      </x:c>
      <x:c r="H70" s="42">
        <x:v>0</x:v>
      </x:c>
      <x:c r="I70" s="42">
        <x:v>0</x:v>
      </x:c>
      <x:c r="J70" s="44"/>
    </x:row>
    <x:row r="71" ht="17.25">
      <x:c r="A71" s="41" t="s">
        <x:v>177</x:v>
      </x:c>
      <x:c r="B71" s="41" t="s">
        <x:v>178</x:v>
      </x:c>
      <x:c r="C71" s="43" t="s">
        <x:v>179</x:v>
      </x:c>
      <x:c r="D71" s="42">
        <x:v>1</x:v>
      </x:c>
      <x:c r="E71" s="42">
        <x:v>1</x:v>
      </x:c>
      <x:c r="F71" s="42">
        <x:v>0</x:v>
      </x:c>
      <x:c r="G71" s="42">
        <x:v>0</x:v>
      </x:c>
      <x:c r="H71" s="42">
        <x:v>0</x:v>
      </x:c>
      <x:c r="I71" s="42">
        <x:v>0</x:v>
      </x:c>
      <x:c r="J71" s="44"/>
    </x:row>
    <x:row r="72">
      <x:c r="A72" s="51" t="s">
        <x:v>23</x:v>
      </x:c>
      <x:c r="B72" s="51" t="s">
        <x:v>180</x:v>
      </x:c>
      <x:c r="C72" s="51" t="s">
        <x:v>181</x:v>
      </x:c>
      <x:c r="D72" s="52">
        <x:v>1</x:v>
      </x:c>
      <x:c r="E72" s="52">
        <x:v>0</x:v>
      </x:c>
      <x:c r="F72" s="52">
        <x:v>0</x:v>
      </x:c>
      <x:c r="G72" s="52">
        <x:v>0</x:v>
      </x:c>
      <x:c r="H72" s="52">
        <x:v>1</x:v>
      </x:c>
      <x:c r="I72" s="52">
        <x:v>0</x:v>
      </x:c>
      <x:c r="J72" s="51"/>
    </x:row>
    <x:row r="73">
      <x:c r="A73" s="48" t="s">
        <x:v>87</x:v>
      </x:c>
      <x:c r="B73" s="48" t="s">
        <x:v>182</x:v>
      </x:c>
      <x:c r="C73" s="48" t="s">
        <x:v>183</x:v>
      </x:c>
      <x:c r="D73" s="53">
        <x:v>3</x:v>
      </x:c>
      <x:c r="E73" s="53">
        <x:v>0</x:v>
      </x:c>
      <x:c r="F73" s="53">
        <x:v>0</x:v>
      </x:c>
      <x:c r="G73" s="53">
        <x:v>2</x:v>
      </x:c>
      <x:c r="H73" s="53">
        <x:v>1</x:v>
      </x:c>
      <x:c r="I73" s="53">
        <x:v>0</x:v>
      </x:c>
      <x:c r="J73" s="48"/>
    </x:row>
    <x:row r="74">
      <x:c r="A74" s="54" t="s">
        <x:v>8</x:v>
      </x:c>
      <x:c r="B74" s="54"/>
      <x:c r="C74" s="54"/>
      <x:c r="D74" s="171" t="n">
        <x:f t="shared" ref="D74:I74" si="12">SUM(D69:D73)</x:f>
        <x:v>9</x:v>
      </x:c>
      <x:c r="E74" s="171" t="n">
        <x:f t="shared" si="12">SUM(E69:E73)</x:f>
        <x:v>2</x:v>
      </x:c>
      <x:c r="F74" s="171" t="n">
        <x:f t="shared" si="12">SUM(F69:F73)</x:f>
        <x:v>2</x:v>
      </x:c>
      <x:c r="G74" s="171" t="n">
        <x:f t="shared" si="12">SUM(G69:G73)</x:f>
        <x:v>3</x:v>
      </x:c>
      <x:c r="H74" s="171" t="n">
        <x:f t="shared" si="12">SUM(H69:H73)</x:f>
        <x:v>2</x:v>
      </x:c>
      <x:c r="I74" s="171" t="n">
        <x:f t="shared" si="12">SUM(I69:I73)</x:f>
        <x:v>0</x:v>
      </x:c>
      <x:c r="J74" s="54"/>
    </x:row>
    <x:row r="75" s="14" customFormat="1" ht="15.399999618530273" customHeight="1">
      <x:c r="A75" s="56" t="s">
        <x:v>126</x:v>
      </x:c>
      <x:c r="B75" s="48"/>
      <x:c r="C75" s="48"/>
      <x:c r="D75" s="97" t="n">
        <x:f t="shared" ref="D75:I75" si="13">IF($D$74=0,0,D74/$D$74)</x:f>
        <x:v>1</x:v>
      </x:c>
      <x:c r="E75" s="97" t="n">
        <x:f t="shared" si="13">IF($D$74=0,0,E74/$D$74)</x:f>
        <x:v>0.2222222222222222</x:v>
      </x:c>
      <x:c r="F75" s="97" t="n">
        <x:f t="shared" si="13">IF($D$74=0,0,F74/$D$74)</x:f>
        <x:v>0.2222222222222222</x:v>
      </x:c>
      <x:c r="G75" s="97" t="n">
        <x:f t="shared" si="13">IF($D$74=0,0,G74/$D$74)</x:f>
        <x:v>0.3333333333333333</x:v>
      </x:c>
      <x:c r="H75" s="97" t="n">
        <x:f t="shared" si="13">IF($D$74=0,0,H74/$D$74)</x:f>
        <x:v>0.2222222222222222</x:v>
      </x:c>
      <x:c r="I75" s="97" t="n">
        <x:f t="shared" si="13">IF($D$74=0,0,I74/$D$74)</x:f>
        <x:v>0</x:v>
      </x:c>
      <x:c r="J75" s="48"/>
    </x:row>
    <x:row r="76" s="14" customFormat="1" ht="19.149999618530273" customHeight="1">
      <x:c r="A76" s="198" t="s">
        <x:v>184</x:v>
      </x:c>
      <x:c r="B76" s="193"/>
      <x:c r="C76" s="193"/>
      <x:c r="D76" s="193"/>
      <x:c r="E76" s="193"/>
      <x:c r="F76" s="193"/>
      <x:c r="G76" s="193"/>
      <x:c r="H76" s="193"/>
      <x:c r="I76" s="193"/>
      <x:c r="J76" s="193"/>
    </x:row>
    <x:row r="77" s="14" customFormat="1" ht="19.149999618530273" customHeight="1">
      <x:c r="A77" s="57" t="s">
        <x:v>121</x:v>
      </x:c>
      <x:c r="B77" s="58" t="s">
        <x:v>122</x:v>
      </x:c>
      <x:c r="C77" s="58" t="s">
        <x:v>14</x:v>
      </x:c>
      <x:c r="D77" s="59" t="s">
        <x:v>17</x:v>
      </x:c>
      <x:c r="E77" s="59" t="s">
        <x:v>2</x:v>
      </x:c>
      <x:c r="F77" s="59" t="s">
        <x:v>3</x:v>
      </x:c>
      <x:c r="G77" s="59" t="s">
        <x:v>123</x:v>
      </x:c>
      <x:c r="H77" s="59" t="s">
        <x:v>6</x:v>
      </x:c>
      <x:c r="I77" s="59" t="s">
        <x:v>7</x:v>
      </x:c>
      <x:c r="J77" s="58" t="s">
        <x:v>18</x:v>
      </x:c>
    </x:row>
    <x:row r="78">
      <x:c r="A78" s="42" t="s">
        <x:v>29</x:v>
      </x:c>
      <x:c r="B78" s="38" t="s">
        <x:v>128</x:v>
      </x:c>
      <x:c r="C78" s="38" t="s">
        <x:v>185</x:v>
      </x:c>
      <x:c r="D78" s="50">
        <x:v>4</x:v>
      </x:c>
      <x:c r="E78" s="50">
        <x:v>1</x:v>
      </x:c>
      <x:c r="F78" s="50">
        <x:v>2</x:v>
      </x:c>
      <x:c r="G78" s="50">
        <x:v>0</x:v>
      </x:c>
      <x:c r="H78" s="50">
        <x:v>1</x:v>
      </x:c>
      <x:c r="I78" s="44">
        <x:v>0</x:v>
      </x:c>
      <x:c r="J78" s="44"/>
    </x:row>
    <x:row r="79">
      <x:c r="A79" s="42" t="s">
        <x:v>78</x:v>
      </x:c>
      <x:c r="B79" s="38" t="s">
        <x:v>124</x:v>
      </x:c>
      <x:c r="C79" s="38" t="s">
        <x:v>186</x:v>
      </x:c>
      <x:c r="D79" s="50">
        <x:v>2</x:v>
      </x:c>
      <x:c r="E79" s="50">
        <x:v>1</x:v>
      </x:c>
      <x:c r="F79" s="50">
        <x:v>1</x:v>
      </x:c>
      <x:c r="G79" s="50">
        <x:v>0</x:v>
      </x:c>
      <x:c r="H79" s="50">
        <x:v>0</x:v>
      </x:c>
      <x:c r="I79" s="50">
        <x:v>0</x:v>
      </x:c>
      <x:c r="J79" s="44"/>
    </x:row>
    <x:row r="80" ht="17.25">
      <x:c r="A80" s="41" t="s">
        <x:v>23</x:v>
      </x:c>
      <x:c r="B80" s="41" t="s">
        <x:v>187</x:v>
      </x:c>
      <x:c r="C80" s="43" t="s">
        <x:v>188</x:v>
      </x:c>
      <x:c r="D80" s="42">
        <x:v>3</x:v>
      </x:c>
      <x:c r="E80" s="42">
        <x:v>1</x:v>
      </x:c>
      <x:c r="F80" s="42">
        <x:v>1</x:v>
      </x:c>
      <x:c r="G80" s="42">
        <x:v>0</x:v>
      </x:c>
      <x:c r="H80" s="42">
        <x:v>1</x:v>
      </x:c>
      <x:c r="I80" s="42">
        <x:v>0</x:v>
      </x:c>
      <x:c r="J80" s="44"/>
    </x:row>
    <x:row r="81" ht="17.25">
      <x:c r="A81" s="41" t="s">
        <x:v>49</x:v>
      </x:c>
      <x:c r="B81" s="41" t="s">
        <x:v>189</x:v>
      </x:c>
      <x:c r="C81" s="43" t="s">
        <x:v>190</x:v>
      </x:c>
      <x:c r="D81" s="42">
        <x:v>5</x:v>
      </x:c>
      <x:c r="E81" s="42">
        <x:v>1</x:v>
      </x:c>
      <x:c r="F81" s="42">
        <x:v>2</x:v>
      </x:c>
      <x:c r="G81" s="42">
        <x:v>1</x:v>
      </x:c>
      <x:c r="H81" s="42">
        <x:v>1</x:v>
      </x:c>
      <x:c r="I81" s="42">
        <x:v>0</x:v>
      </x:c>
      <x:c r="J81" s="44"/>
    </x:row>
    <x:row r="82" ht="17.25">
      <x:c r="A82" s="42" t="s">
        <x:v>53</x:v>
      </x:c>
      <x:c r="B82" s="41" t="s">
        <x:v>191</x:v>
      </x:c>
      <x:c r="C82" s="43" t="s">
        <x:v>192</x:v>
      </x:c>
      <x:c r="D82" s="42">
        <x:v>3</x:v>
      </x:c>
      <x:c r="E82" s="42">
        <x:v>1</x:v>
      </x:c>
      <x:c r="F82" s="42">
        <x:v>2</x:v>
      </x:c>
      <x:c r="G82" s="42">
        <x:v>0</x:v>
      </x:c>
      <x:c r="H82" s="42">
        <x:v>0</x:v>
      </x:c>
      <x:c r="I82" s="42">
        <x:v>0</x:v>
      </x:c>
      <x:c r="J82" s="44"/>
    </x:row>
    <x:row r="83" ht="17.25">
      <x:c r="A83" s="42"/>
      <x:c r="B83" s="41"/>
      <x:c r="C83" s="43"/>
      <x:c r="D83" s="42"/>
      <x:c r="E83" s="42"/>
      <x:c r="F83" s="42"/>
      <x:c r="G83" s="42"/>
      <x:c r="H83" s="42"/>
      <x:c r="I83" s="42"/>
      <x:c r="J83" s="44"/>
    </x:row>
    <x:row r="84" ht="17.25">
      <x:c r="A84" s="42" t="s">
        <x:v>37</x:v>
      </x:c>
      <x:c r="B84" s="41" t="s">
        <x:v>193</x:v>
      </x:c>
      <x:c r="C84" s="43" t="s">
        <x:v>194</x:v>
      </x:c>
      <x:c r="D84" s="42">
        <x:v>3</x:v>
      </x:c>
      <x:c r="E84" s="42">
        <x:v>2</x:v>
      </x:c>
      <x:c r="F84" s="42">
        <x:v>1</x:v>
      </x:c>
      <x:c r="G84" s="42">
        <x:v>0</x:v>
      </x:c>
      <x:c r="H84" s="42">
        <x:v>0</x:v>
      </x:c>
      <x:c r="I84" s="42">
        <x:v>0</x:v>
      </x:c>
      <x:c r="J84" s="44"/>
    </x:row>
    <x:row r="85" ht="17.25">
      <x:c r="A85" s="60"/>
      <x:c r="B85" s="48"/>
      <x:c r="C85" s="48"/>
      <x:c r="D85" s="53"/>
      <x:c r="E85" s="53"/>
      <x:c r="F85" s="53"/>
      <x:c r="G85" s="53"/>
      <x:c r="H85" s="53"/>
      <x:c r="I85" s="53"/>
      <x:c r="J85" s="48"/>
    </x:row>
    <x:row r="86" ht="18.75">
      <x:c r="A86" s="196" t="s">
        <x:v>8</x:v>
      </x:c>
      <x:c r="B86" s="193"/>
      <x:c r="C86" s="193"/>
      <x:c r="D86" s="171" t="n">
        <x:f t="shared" ref="D86:I86" si="14">SUM(D78:D85)</x:f>
        <x:v>20</x:v>
      </x:c>
      <x:c r="E86" s="171" t="n">
        <x:f t="shared" si="14">SUM(E78:E85)</x:f>
        <x:v>7</x:v>
      </x:c>
      <x:c r="F86" s="171" t="n">
        <x:f t="shared" si="14">SUM(F78:F85)</x:f>
        <x:v>9</x:v>
      </x:c>
      <x:c r="G86" s="171" t="n">
        <x:f t="shared" si="14">SUM(G78:G85)</x:f>
        <x:v>1</x:v>
      </x:c>
      <x:c r="H86" s="171" t="n">
        <x:f t="shared" si="14">SUM(H78:H85)</x:f>
        <x:v>3</x:v>
      </x:c>
      <x:c r="I86" s="171" t="n">
        <x:f t="shared" si="14">SUM(I78:I85)</x:f>
        <x:v>0</x:v>
      </x:c>
      <x:c r="J86" s="61"/>
    </x:row>
    <x:row r="87">
      <x:c r="A87" s="48" t="s">
        <x:v>126</x:v>
      </x:c>
      <x:c r="B87" s="48"/>
      <x:c r="C87" s="48"/>
      <x:c r="D87" s="97" t="n">
        <x:f t="shared" ref="D87:I87" si="15">IF($D$86=0,0,D86/$D$86)</x:f>
        <x:v>1</x:v>
      </x:c>
      <x:c r="E87" s="97" t="n">
        <x:f t="shared" si="15">IF($D$86=0,0,E86/$D$86)</x:f>
        <x:v>0.35</x:v>
      </x:c>
      <x:c r="F87" s="97" t="n">
        <x:f t="shared" si="15">IF($D$86=0,0,F86/$D$86)</x:f>
        <x:v>0.45</x:v>
      </x:c>
      <x:c r="G87" s="97" t="n">
        <x:f t="shared" si="15">IF($D$86=0,0,G86/$D$86)</x:f>
        <x:v>0.05</x:v>
      </x:c>
      <x:c r="H87" s="97" t="n">
        <x:f t="shared" si="15">IF($D$86=0,0,H86/$D$86)</x:f>
        <x:v>0.15</x:v>
      </x:c>
      <x:c r="I87" s="97" t="n">
        <x:f t="shared" si="15">IF($D$86=0,0,I86/$D$86)</x:f>
        <x:v>0</x:v>
      </x:c>
      <x:c r="J87" s="48"/>
    </x:row>
    <x:row r="88" s="14" customFormat="1" ht="15.399999618530273" customHeight="1">
      <x:c r="A88" s="62"/>
      <x:c r="B88" s="63"/>
      <x:c r="C88" s="63"/>
      <x:c r="D88" s="63"/>
      <x:c r="E88" s="63"/>
      <x:c r="F88" s="63"/>
      <x:c r="G88" s="63"/>
      <x:c r="H88" s="63"/>
      <x:c r="I88" s="63"/>
      <x:c r="J88" s="63"/>
    </x:row>
    <x:row r="89" s="14" customFormat="1" ht="19.149999618530273" customHeight="1">
      <x:c r="A89" s="198" t="s">
        <x:v>195</x:v>
      </x:c>
      <x:c r="B89" s="193"/>
      <x:c r="C89" s="193"/>
      <x:c r="D89" s="193"/>
      <x:c r="E89" s="193"/>
      <x:c r="F89" s="193"/>
      <x:c r="G89" s="193"/>
      <x:c r="H89" s="193"/>
      <x:c r="I89" s="193"/>
      <x:c r="J89" s="193"/>
    </x:row>
    <x:row r="90" s="14" customFormat="1" ht="19.149999618530273" customHeight="1">
      <x:c r="A90" s="59" t="s">
        <x:v>121</x:v>
      </x:c>
      <x:c r="B90" s="58" t="s">
        <x:v>122</x:v>
      </x:c>
      <x:c r="C90" s="58" t="s">
        <x:v>14</x:v>
      </x:c>
      <x:c r="D90" s="59" t="s">
        <x:v>17</x:v>
      </x:c>
      <x:c r="E90" s="59" t="s">
        <x:v>2</x:v>
      </x:c>
      <x:c r="F90" s="59" t="s">
        <x:v>3</x:v>
      </x:c>
      <x:c r="G90" s="59" t="s">
        <x:v>123</x:v>
      </x:c>
      <x:c r="H90" s="59" t="s">
        <x:v>6</x:v>
      </x:c>
      <x:c r="I90" s="59" t="s">
        <x:v>7</x:v>
      </x:c>
      <x:c r="J90" s="64" t="s">
        <x:v>18</x:v>
      </x:c>
    </x:row>
    <x:row r="91">
      <x:c r="A91" s="42" t="s">
        <x:v>33</x:v>
      </x:c>
      <x:c r="B91" s="38" t="s">
        <x:v>196</x:v>
      </x:c>
      <x:c r="C91" s="38" t="s">
        <x:v>197</x:v>
      </x:c>
      <x:c r="D91" s="65">
        <x:v>6</x:v>
      </x:c>
      <x:c r="E91" s="65">
        <x:v>2</x:v>
      </x:c>
      <x:c r="F91" s="65">
        <x:v>3</x:v>
      </x:c>
      <x:c r="G91" s="65">
        <x:v>0</x:v>
      </x:c>
      <x:c r="H91" s="65">
        <x:v>0</x:v>
      </x:c>
      <x:c r="I91" s="66">
        <x:v>1</x:v>
      </x:c>
      <x:c r="J91" s="44" t="s">
        <x:v>198</x:v>
      </x:c>
    </x:row>
    <x:row r="92">
      <x:c r="A92" s="42" t="s">
        <x:v>82</x:v>
      </x:c>
      <x:c r="B92" s="38" t="s">
        <x:v>199</x:v>
      </x:c>
      <x:c r="C92" s="38" t="s">
        <x:v>200</x:v>
      </x:c>
      <x:c r="D92" s="50">
        <x:v>4</x:v>
      </x:c>
      <x:c r="E92" s="50">
        <x:v>1</x:v>
      </x:c>
      <x:c r="F92" s="50">
        <x:v>1</x:v>
      </x:c>
      <x:c r="G92" s="50">
        <x:v>0</x:v>
      </x:c>
      <x:c r="H92" s="50">
        <x:v>0</x:v>
      </x:c>
      <x:c r="I92" s="66">
        <x:v>2</x:v>
      </x:c>
      <x:c r="J92" s="44"/>
    </x:row>
    <x:row r="93">
      <x:c r="A93" s="42" t="s">
        <x:v>68</x:v>
      </x:c>
      <x:c r="B93" s="41" t="s">
        <x:v>201</x:v>
      </x:c>
      <x:c r="C93" s="43" t="s">
        <x:v>202</x:v>
      </x:c>
      <x:c r="D93" s="42">
        <x:v>4</x:v>
      </x:c>
      <x:c r="E93" s="42">
        <x:v>1</x:v>
      </x:c>
      <x:c r="F93" s="42">
        <x:v>1</x:v>
      </x:c>
      <x:c r="G93" s="42">
        <x:v>0</x:v>
      </x:c>
      <x:c r="H93" s="42">
        <x:v>0</x:v>
      </x:c>
      <x:c r="I93" s="67">
        <x:v>2</x:v>
      </x:c>
      <x:c r="J93" s="68"/>
    </x:row>
    <x:row r="94" s="14" customFormat="1" ht="21.200000762939453" customHeight="1">
      <x:c r="A94" s="42" t="s">
        <x:v>68</x:v>
      </x:c>
      <x:c r="B94" s="41" t="s">
        <x:v>203</x:v>
      </x:c>
      <x:c r="C94" s="43" t="s">
        <x:v>204</x:v>
      </x:c>
      <x:c r="D94" s="42">
        <x:v>5</x:v>
      </x:c>
      <x:c r="E94" s="42">
        <x:v>1</x:v>
      </x:c>
      <x:c r="F94" s="42">
        <x:v>0</x:v>
      </x:c>
      <x:c r="G94" s="42">
        <x:v>0</x:v>
      </x:c>
      <x:c r="H94" s="42">
        <x:v>1</x:v>
      </x:c>
      <x:c r="I94" s="67">
        <x:v>3</x:v>
      </x:c>
      <x:c r="J94" s="68" t="s">
        <x:v>205</x:v>
      </x:c>
    </x:row>
    <x:row r="95" ht="17.25">
      <x:c r="A95" s="42" t="s">
        <x:v>33</x:v>
      </x:c>
      <x:c r="B95" s="41" t="s">
        <x:v>196</x:v>
      </x:c>
      <x:c r="C95" s="43" t="s">
        <x:v>54</x:v>
      </x:c>
      <x:c r="D95" s="42">
        <x:v>6</x:v>
      </x:c>
      <x:c r="E95" s="42">
        <x:v>2</x:v>
      </x:c>
      <x:c r="F95" s="42">
        <x:v>2</x:v>
      </x:c>
      <x:c r="G95" s="42">
        <x:v>0</x:v>
      </x:c>
      <x:c r="H95" s="42">
        <x:v>0</x:v>
      </x:c>
      <x:c r="I95" s="42">
        <x:v>2</x:v>
      </x:c>
      <x:c r="J95" s="44" t="s">
        <x:v>206</x:v>
      </x:c>
    </x:row>
    <x:row r="96">
      <x:c r="A96" s="41" t="s">
        <x:v>79</x:v>
      </x:c>
      <x:c r="B96" s="42" t="s">
        <x:v>144</x:v>
      </x:c>
      <x:c r="C96" s="43" t="s">
        <x:v>207</x:v>
      </x:c>
      <x:c r="D96" s="42">
        <x:v>4</x:v>
      </x:c>
      <x:c r="E96" s="42">
        <x:v>1</x:v>
      </x:c>
      <x:c r="F96" s="42">
        <x:v>2</x:v>
      </x:c>
      <x:c r="G96" s="42">
        <x:v>1</x:v>
      </x:c>
      <x:c r="H96" s="42">
        <x:v>0</x:v>
      </x:c>
      <x:c r="I96" s="67">
        <x:v>0</x:v>
      </x:c>
      <x:c r="J96" s="68"/>
    </x:row>
    <x:row r="97" ht="17.25">
      <x:c r="A97" s="41" t="s">
        <x:v>81</x:v>
      </x:c>
      <x:c r="B97" s="41" t="s">
        <x:v>208</x:v>
      </x:c>
      <x:c r="C97" s="43" t="s">
        <x:v>209</x:v>
      </x:c>
      <x:c r="D97" s="42">
        <x:v>5</x:v>
      </x:c>
      <x:c r="E97" s="42">
        <x:v>1</x:v>
      </x:c>
      <x:c r="F97" s="42">
        <x:v>1</x:v>
      </x:c>
      <x:c r="G97" s="42">
        <x:v>0</x:v>
      </x:c>
      <x:c r="H97" s="42">
        <x:v>1</x:v>
      </x:c>
      <x:c r="I97" s="42">
        <x:v>2</x:v>
      </x:c>
      <x:c r="J97" s="44" t="s">
        <x:v>206</x:v>
      </x:c>
    </x:row>
    <x:row r="98" ht="17.25">
      <x:c r="A98" s="42" t="s">
        <x:v>80</x:v>
      </x:c>
      <x:c r="B98" s="41" t="s">
        <x:v>210</x:v>
      </x:c>
      <x:c r="C98" s="43" t="s">
        <x:v>211</x:v>
      </x:c>
      <x:c r="D98" s="42">
        <x:v>1</x:v>
      </x:c>
      <x:c r="E98" s="42">
        <x:v>1</x:v>
      </x:c>
      <x:c r="F98" s="42">
        <x:v>0</x:v>
      </x:c>
      <x:c r="G98" s="42">
        <x:v>0</x:v>
      </x:c>
      <x:c r="H98" s="42">
        <x:v>0</x:v>
      </x:c>
      <x:c r="I98" s="42">
        <x:v>0</x:v>
      </x:c>
      <x:c r="J98" s="44"/>
    </x:row>
    <x:row r="99" s="14" customFormat="1" ht="31.700000762939453" customHeight="1">
      <x:c r="A99" s="60" t="s">
        <x:v>82</x:v>
      </x:c>
      <x:c r="B99" s="48" t="s">
        <x:v>212</x:v>
      </x:c>
      <x:c r="C99" s="48" t="s">
        <x:v>213</x:v>
      </x:c>
      <x:c r="D99" s="53">
        <x:v>3</x:v>
      </x:c>
      <x:c r="E99" s="53">
        <x:v>1</x:v>
      </x:c>
      <x:c r="F99" s="53">
        <x:v>1</x:v>
      </x:c>
      <x:c r="G99" s="53">
        <x:v>0</x:v>
      </x:c>
      <x:c r="H99" s="53">
        <x:v>1</x:v>
      </x:c>
      <x:c r="I99" s="53">
        <x:v>0</x:v>
      </x:c>
      <x:c r="J99" s="69"/>
    </x:row>
    <x:row r="100" ht="18">
      <x:c r="A100" s="60" t="s">
        <x:v>80</x:v>
      </x:c>
      <x:c r="B100" s="44" t="s">
        <x:v>214</x:v>
      </x:c>
      <x:c r="C100" s="44" t="s">
        <x:v>215</x:v>
      </x:c>
      <x:c r="D100" s="53">
        <x:v>1</x:v>
      </x:c>
      <x:c r="E100" s="53">
        <x:v>1</x:v>
      </x:c>
      <x:c r="F100" s="53">
        <x:v>0</x:v>
      </x:c>
      <x:c r="G100" s="53">
        <x:v>0</x:v>
      </x:c>
      <x:c r="H100" s="53">
        <x:v>0</x:v>
      </x:c>
      <x:c r="I100" s="53">
        <x:v>0</x:v>
      </x:c>
      <x:c r="J100" s="69"/>
    </x:row>
    <x:row r="101" ht="18.75">
      <x:c r="A101" s="71" t="s">
        <x:v>8</x:v>
      </x:c>
      <x:c r="B101" s="44"/>
      <x:c r="C101" s="44"/>
      <x:c r="D101" s="55" t="n">
        <x:f t="shared" ref="D101:I101" si="16">SUM(D91:D100)</x:f>
        <x:v>39</x:v>
      </x:c>
      <x:c r="E101" s="55">
        <x:f t="shared" si="16"/>
        <x:v>12</x:v>
      </x:c>
      <x:c r="F101" s="55">
        <x:f t="shared" si="16"/>
        <x:v>11</x:v>
      </x:c>
      <x:c r="G101" s="55">
        <x:f t="shared" si="16"/>
        <x:v>1</x:v>
      </x:c>
      <x:c r="H101" s="55">
        <x:f t="shared" si="16"/>
        <x:v>3</x:v>
      </x:c>
      <x:c r="I101" s="55">
        <x:f t="shared" si="16"/>
        <x:v>12</x:v>
      </x:c>
      <x:c r="J101" s="61" t="s">
        <x:v>216</x:v>
      </x:c>
    </x:row>
    <x:row r="102" s="14" customFormat="1" ht="15.399999618530273" customHeight="1">
      <x:c r="A102" s="48" t="s">
        <x:v>126</x:v>
      </x:c>
      <x:c r="B102" s="48"/>
      <x:c r="C102" s="48"/>
      <x:c r="D102" s="47" t="n">
        <x:f t="shared" ref="D102:I102" si="17">IF($D$101=0,0,D101/$D$101)</x:f>
        <x:v>1</x:v>
      </x:c>
      <x:c r="E102" s="47">
        <x:f t="shared" si="17"/>
        <x:v>0.30769230769230771</x:v>
      </x:c>
      <x:c r="F102" s="47">
        <x:f t="shared" si="17"/>
        <x:v>0.28205128205128205</x:v>
      </x:c>
      <x:c r="G102" s="47">
        <x:f t="shared" si="17"/>
        <x:v>2.564102564102564E-2</x:v>
      </x:c>
      <x:c r="H102" s="47">
        <x:f t="shared" si="17"/>
        <x:v>7.6923076923076927E-2</x:v>
      </x:c>
      <x:c r="I102" s="47">
        <x:f t="shared" si="17"/>
        <x:v>0.30769230769230771</x:v>
      </x:c>
      <x:c r="J102" s="48"/>
    </x:row>
    <x:row r="103" s="14" customFormat="1" ht="19.149999618530273" customHeight="1">
      <x:c r="A103" s="197"/>
      <x:c r="B103" s="193"/>
      <x:c r="C103" s="193"/>
      <x:c r="D103" s="193"/>
      <x:c r="E103" s="193"/>
      <x:c r="F103" s="193"/>
      <x:c r="G103" s="193"/>
      <x:c r="H103" s="193"/>
      <x:c r="I103" s="193"/>
      <x:c r="J103" s="193"/>
    </x:row>
    <x:row r="104" s="14" customFormat="1" ht="19.149999618530273" customHeight="1">
      <x:c r="A104" s="72" t="s">
        <x:v>217</x:v>
      </x:c>
      <x:c r="B104" s="44"/>
      <x:c r="C104" s="44"/>
      <x:c r="D104" s="44"/>
      <x:c r="E104" s="44"/>
      <x:c r="F104" s="44"/>
      <x:c r="G104" s="44"/>
      <x:c r="H104" s="44"/>
      <x:c r="I104" s="44"/>
      <x:c r="J104" s="44"/>
    </x:row>
    <x:row r="105">
      <x:c r="A105" s="59" t="s">
        <x:v>121</x:v>
      </x:c>
      <x:c r="B105" s="57" t="s">
        <x:v>122</x:v>
      </x:c>
      <x:c r="C105" s="57" t="s">
        <x:v>14</x:v>
      </x:c>
      <x:c r="D105" s="59" t="s">
        <x:v>17</x:v>
      </x:c>
      <x:c r="E105" s="59" t="s">
        <x:v>2</x:v>
      </x:c>
      <x:c r="F105" s="59" t="s">
        <x:v>3</x:v>
      </x:c>
      <x:c r="G105" s="59" t="s">
        <x:v>123</x:v>
      </x:c>
      <x:c r="H105" s="59" t="s">
        <x:v>6</x:v>
      </x:c>
      <x:c r="I105" s="59" t="s">
        <x:v>7</x:v>
      </x:c>
      <x:c r="J105" s="64" t="s">
        <x:v>18</x:v>
      </x:c>
    </x:row>
    <x:row r="106" ht="30">
      <x:c r="A106" s="42" t="s">
        <x:v>85</x:v>
      </x:c>
      <x:c r="B106" s="41" t="s">
        <x:v>218</x:v>
      </x:c>
      <x:c r="C106" s="43" t="s">
        <x:v>219</x:v>
      </x:c>
      <x:c r="D106" s="42">
        <x:v>4</x:v>
      </x:c>
      <x:c r="E106" s="42">
        <x:v>1</x:v>
      </x:c>
      <x:c r="F106" s="42">
        <x:v>2</x:v>
      </x:c>
      <x:c r="G106" s="42">
        <x:v>0</x:v>
      </x:c>
      <x:c r="H106" s="42">
        <x:v>1</x:v>
      </x:c>
      <x:c r="I106" s="67">
        <x:v>0</x:v>
      </x:c>
      <x:c r="J106" s="68"/>
    </x:row>
    <x:row r="107">
      <x:c r="A107" s="42" t="s">
        <x:v>220</x:v>
      </x:c>
      <x:c r="B107" s="41" t="s">
        <x:v>221</x:v>
      </x:c>
      <x:c r="C107" s="43" t="s">
        <x:v>222</x:v>
      </x:c>
      <x:c r="D107" s="42">
        <x:v>4</x:v>
      </x:c>
      <x:c r="E107" s="42">
        <x:v>1</x:v>
      </x:c>
      <x:c r="F107" s="42">
        <x:v>2</x:v>
      </x:c>
      <x:c r="G107" s="42">
        <x:v>1</x:v>
      </x:c>
      <x:c r="H107" s="42">
        <x:v>0</x:v>
      </x:c>
      <x:c r="I107" s="67">
        <x:v>0</x:v>
      </x:c>
      <x:c r="J107" s="68"/>
    </x:row>
    <x:row r="108" s="14" customFormat="1" ht="31.700000762939453" customHeight="1">
      <x:c r="A108" s="42" t="s">
        <x:v>35</x:v>
      </x:c>
      <x:c r="B108" s="41" t="s">
        <x:v>223</x:v>
      </x:c>
      <x:c r="C108" s="43" t="s">
        <x:v>224</x:v>
      </x:c>
      <x:c r="D108" s="42">
        <x:v>3</x:v>
      </x:c>
      <x:c r="E108" s="42">
        <x:v>1</x:v>
      </x:c>
      <x:c r="F108" s="42">
        <x:v>2</x:v>
      </x:c>
      <x:c r="G108" s="42">
        <x:v>0</x:v>
      </x:c>
      <x:c r="H108" s="42">
        <x:v>0</x:v>
      </x:c>
      <x:c r="I108" s="67">
        <x:v>0</x:v>
      </x:c>
      <x:c r="J108" s="68"/>
    </x:row>
    <x:row r="109" ht="21">
      <x:c r="A109" s="60" t="s">
        <x:v>225</x:v>
      </x:c>
      <x:c r="B109" s="44" t="s">
        <x:v>199</x:v>
      </x:c>
      <x:c r="C109" s="44" t="s">
        <x:v>226</x:v>
      </x:c>
      <x:c r="D109" s="53">
        <x:v>4</x:v>
      </x:c>
      <x:c r="E109" s="53">
        <x:v>1</x:v>
      </x:c>
      <x:c r="F109" s="53">
        <x:v>1</x:v>
      </x:c>
      <x:c r="G109" s="53">
        <x:v>0</x:v>
      </x:c>
      <x:c r="H109" s="53">
        <x:v>0</x:v>
      </x:c>
      <x:c r="I109" s="53">
        <x:v>2</x:v>
      </x:c>
      <x:c r="J109" s="69" t="s">
        <x:v>206</x:v>
      </x:c>
    </x:row>
    <x:row r="110" ht="18.75">
      <x:c r="A110" s="73" t="s">
        <x:v>56</x:v>
      </x:c>
      <x:c r="B110" s="44" t="s">
        <x:v>227</x:v>
      </x:c>
      <x:c r="C110" s="44" t="s">
        <x:v>55</x:v>
      </x:c>
      <x:c r="D110" s="45">
        <x:v>4</x:v>
      </x:c>
      <x:c r="E110" s="45">
        <x:v>1</x:v>
      </x:c>
      <x:c r="F110" s="45">
        <x:v>2</x:v>
      </x:c>
      <x:c r="G110" s="45">
        <x:v>0</x:v>
      </x:c>
      <x:c r="H110" s="45">
        <x:v>1</x:v>
      </x:c>
      <x:c r="I110" s="45">
        <x:v>0</x:v>
      </x:c>
      <x:c r="J110" s="74"/>
    </x:row>
    <x:row r="111">
      <x:c r="A111" s="129" t="s">
        <x:v>58</x:v>
      </x:c>
      <x:c r="B111" s="129" t="s">
        <x:v>228</x:v>
      </x:c>
      <x:c r="C111" s="129" t="s">
        <x:v>57</x:v>
      </x:c>
      <x:c r="D111" s="144">
        <x:v>3</x:v>
      </x:c>
      <x:c r="E111" s="144">
        <x:v>1</x:v>
      </x:c>
      <x:c r="F111" s="144">
        <x:v>2</x:v>
      </x:c>
      <x:c r="G111" s="144">
        <x:v>0</x:v>
      </x:c>
      <x:c r="H111" s="144">
        <x:v>0</x:v>
      </x:c>
      <x:c r="I111" s="144">
        <x:v>0</x:v>
      </x:c>
      <x:c r="J111" s="129"/>
    </x:row>
    <x:row r="112">
      <x:c r="A112" s="173" t="s">
        <x:v>73</x:v>
      </x:c>
      <x:c r="B112" s="173" t="s">
        <x:v>196</x:v>
      </x:c>
      <x:c r="C112" s="173" t="s">
        <x:v>229</x:v>
      </x:c>
      <x:c r="D112" s="174">
        <x:v>8</x:v>
      </x:c>
      <x:c r="E112" s="174">
        <x:v>2</x:v>
      </x:c>
      <x:c r="F112" s="174">
        <x:v>4</x:v>
      </x:c>
      <x:c r="G112" s="174">
        <x:v>1</x:v>
      </x:c>
      <x:c r="H112" s="174">
        <x:v>1</x:v>
      </x:c>
      <x:c r="I112" s="174">
        <x:v>0</x:v>
      </x:c>
      <x:c r="J112" s="173"/>
    </x:row>
    <x:row r="113">
      <x:c r="A113" s="175" t="s">
        <x:v>33</x:v>
      </x:c>
      <x:c r="B113" s="175" t="s">
        <x:v>150</x:v>
      </x:c>
      <x:c r="C113" s="175" t="s">
        <x:v>59</x:v>
      </x:c>
      <x:c r="D113" s="172">
        <x:v>6</x:v>
      </x:c>
      <x:c r="E113" s="172">
        <x:v>2</x:v>
      </x:c>
      <x:c r="F113" s="172">
        <x:v>2</x:v>
      </x:c>
      <x:c r="G113" s="172">
        <x:v>0</x:v>
      </x:c>
      <x:c r="H113" s="172">
        <x:v>0</x:v>
      </x:c>
      <x:c r="I113" s="172">
        <x:v>2</x:v>
      </x:c>
      <x:c r="J113" s="175"/>
    </x:row>
    <x:row r="114">
      <x:c r="A114" s="176" t="s">
        <x:v>43</x:v>
      </x:c>
      <x:c r="B114" s="176" t="s">
        <x:v>230</x:v>
      </x:c>
      <x:c r="C114" s="176" t="s">
        <x:v>231</x:v>
      </x:c>
      <x:c r="D114" s="178">
        <x:v>2</x:v>
      </x:c>
      <x:c r="E114" s="178">
        <x:v>1</x:v>
      </x:c>
      <x:c r="F114" s="178">
        <x:v>1</x:v>
      </x:c>
      <x:c r="G114" s="178">
        <x:v>0</x:v>
      </x:c>
      <x:c r="H114" s="178">
        <x:v>0</x:v>
      </x:c>
      <x:c r="I114" s="178">
        <x:v>0</x:v>
      </x:c>
      <x:c r="J114" s="177"/>
    </x:row>
    <x:row r="115">
      <x:c r="A115" t="str">
        <x:v>(주)성광엔지니어링</x:v>
      </x:c>
      <x:c r="B115" t="str">
        <x:v>현대엔지니어링(주)</x:v>
      </x:c>
      <x:c r="C115" t="str">
        <x:v>신광교 클라우드 시티 신축공사</x:v>
      </x:c>
      <x:c r="D115" s="536" t="n">
        <x:v>5</x:v>
      </x:c>
      <x:c r="E115" s="536" t="n">
        <x:v>1</x:v>
      </x:c>
      <x:c r="F115" s="536" t="n">
        <x:v>1</x:v>
      </x:c>
      <x:c r="G115" s="536" t="n">
        <x:v>0</x:v>
      </x:c>
      <x:c r="H115" s="536" t="n">
        <x:v>0</x:v>
      </x:c>
      <x:c r="I115" s="536" t="n">
        <x:v>3</x:v>
      </x:c>
      <x:c r="J115" t="str">
        <x:v>2026-10-17 입사 / 명단 현장명 정정 · 1→5대(민노+1, 미정+3)</x:v>
      </x:c>
    </x:row>
    <x:row r="116">
      <x:c r="A116" t="str">
        <x:v>(주)제일타워공영</x:v>
      </x:c>
      <x:c r="B116" t="str">
        <x:v>(주)비에스한양</x:v>
      </x:c>
      <x:c r="C116" t="str">
        <x:v>평택고덕국제화계획지구 Abc-14BL 공동주택 신축공사</x:v>
      </x:c>
      <x:c r="D116" s="536" t="n">
        <x:v>4</x:v>
      </x:c>
      <x:c r="E116" s="536" t="n">
        <x:v>1</x:v>
      </x:c>
      <x:c r="F116" s="536" t="n">
        <x:v>2</x:v>
      </x:c>
      <x:c r="G116" s="536" t="n">
        <x:v>0</x:v>
      </x:c>
      <x:c r="H116" s="536" t="n">
        <x:v>1</x:v>
      </x:c>
      <x:c r="I116" s="536" t="n">
        <x:v>0</x:v>
      </x:c>
      <x:c r="J116" t="str">
        <x:v>2026-10-19 입사 / 평택시 소재 / 남부지부 통계</x:v>
      </x:c>
    </x:row>
    <x:row r="117">
      <x:c r="A117" t="inlineStr">
        <x:is>
          <x:t xml:space="preserve">(주)성광엔지니어링</x:t>
        </x:is>
      </x:c>
      <x:c r="B117" t="inlineStr">
        <x:is>
          <x:t xml:space="preserve">효성중공업(주)</x:t>
        </x:is>
      </x:c>
      <x:c r="C117" t="inlineStr">
        <x:is>
          <x:t xml:space="preserve">평택고덕 Aa-38BL 아파트 건설공사 15공구</x:t>
        </x:is>
      </x:c>
      <x:c r="D117" s="536">
        <x:v>4</x:v>
      </x:c>
      <x:c r="E117" s="536">
        <x:v>1</x:v>
      </x:c>
      <x:c r="F117" s="536">
        <x:v>2</x:v>
      </x:c>
      <x:c r="G117" s="536">
        <x:v>0</x:v>
      </x:c>
      <x:c r="H117" s="536">
        <x:v>1</x:v>
      </x:c>
      <x:c r="I117" s="536">
        <x:v>0</x:v>
      </x:c>
      <x:c r="J117" t="inlineStr">
        <x:is>
          <x:t xml:space="preserve">2026-10-19 입사 / 이번 명단 신규 현장</x:t>
        </x:is>
      </x:c>
    </x:row>
    <x:row r="118">
      <x:c r="A118" t="str">
        <x:v>합계</x:v>
      </x:c>
      <x:c r="B118"/>
      <x:c r="C118"/>
      <x:c r="D118" s="536" t="n">
        <x:f>SUM(D106:D117)</x:f>
        <x:v>51</x:v>
      </x:c>
      <x:c r="E118" s="536" t="n">
        <x:f>SUM(E106:E117)</x:f>
        <x:v>14</x:v>
      </x:c>
      <x:c r="F118" s="536" t="n">
        <x:f>SUM(F106:F117)</x:f>
        <x:v>23</x:v>
      </x:c>
      <x:c r="G118" s="536" t="n">
        <x:f>SUM(G106:G117)</x:f>
        <x:v>2</x:v>
      </x:c>
      <x:c r="H118" s="536" t="n">
        <x:f>SUM(H106:H117)</x:f>
        <x:v>5</x:v>
      </x:c>
      <x:c r="I118" s="536" t="n">
        <x:f>SUM(I106:I117)</x:f>
        <x:v>7</x:v>
      </x:c>
      <x:c r="J118" t="str">
        <x:v>※ 미정 7대 (확인된 최신 10월 집계), 다른 월 기록 유지</x:v>
      </x:c>
    </x:row>
    <x:row r="119">
      <x:c r="A119" t="str">
        <x:v>비율 (총대수=100%)</x:v>
      </x:c>
      <x:c r="B119"/>
      <x:c r="C119"/>
      <x:c r="D119" s="95" t="n">
        <x:f>IF($D$118=0,0,D118/$D$118)</x:f>
        <x:v>1</x:v>
      </x:c>
      <x:c r="E119" s="95" t="n">
        <x:f>IF($D$118=0,0,E118/$D$118)</x:f>
        <x:v>0.27450980392156865</x:v>
      </x:c>
      <x:c r="F119" s="95" t="n">
        <x:f>IF($D$118=0,0,F118/$D$118)</x:f>
        <x:v>0.45098039215686275</x:v>
      </x:c>
      <x:c r="G119" s="95" t="n">
        <x:f>IF($D$118=0,0,G118/$D$118)</x:f>
        <x:v>0.0392156862745098</x:v>
      </x:c>
      <x:c r="H119" s="95" t="n">
        <x:f>IF($D$118=0,0,H118/$D$118)</x:f>
        <x:v>0.09803921568627451</x:v>
      </x:c>
      <x:c r="I119" s="95" t="n">
        <x:f>IF($D$118=0,0,I118/$D$118)</x:f>
        <x:v>0.13725490196078433</x:v>
      </x:c>
      <x:c r="J119"/>
    </x:row>
  </x:sheetData>
  <x:mergeCells>
    <x:mergeCell ref="A1:J1"/>
    <x:mergeCell ref="A103:J103"/>
    <x:mergeCell ref="A16:C16"/>
    <x:mergeCell ref="A9:C9"/>
    <x:mergeCell ref="A39:C39"/>
    <x:mergeCell ref="A48:C48"/>
    <x:mergeCell ref="A41:J41"/>
    <x:mergeCell ref="A64:C64"/>
    <x:mergeCell ref="A89:J89"/>
    <x:mergeCell ref="A50:J50"/>
    <x:mergeCell ref="A65:C65"/>
    <x:mergeCell ref="A76:J76"/>
    <x:mergeCell ref="A8:C8"/>
    <x:mergeCell ref="A30:J30"/>
    <x:mergeCell ref="A17:C17"/>
    <x:mergeCell ref="A38:C38"/>
    <x:mergeCell ref="A11:J11"/>
    <x:mergeCell ref="A28:C28"/>
    <x:mergeCell ref="A27:C27"/>
    <x:mergeCell ref="A19:J19"/>
    <x:mergeCell ref="A86:C86"/>
    <x:mergeCell ref="A47:C47"/>
    <x:mergeCell ref="A67:J6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1" hidden="0" customWidth="1"/>
    <x:col min="2" max="2" width="15" hidden="0" customWidth="1"/>
    <x:col min="3" max="3" width="16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8" hidden="0" customWidth="1"/>
    <x:col min="9" max="9" width="16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6" hidden="0" customWidth="1"/>
    <x:col min="15" max="15" width="14" hidden="0" customWidth="1"/>
    <x:col min="16" max="16" width="16" hidden="0" customWidth="1"/>
    <x:col min="17" max="17" width="16" hidden="0" customWidth="1"/>
    <x:col min="18" max="18" width="14" hidden="0" customWidth="1"/>
    <x:col min="19" max="19" width="24" hidden="0" customWidth="1"/>
    <x:col min="20" max="20" width="52" hidden="0" customWidth="1"/>
  </x:cols>
  <x:sheetData>
    <x:row r="1" ht="36" customHeight="1">
      <x:c r="A1" s="373" t="str">
        <x:v>2026년 월별 채용현황 · 소속별 비율 통계</x:v>
      </x:c>
      <x:c r="B1" s="373"/>
      <x:c r="C1" s="373"/>
      <x:c r="D1" s="373"/>
      <x:c r="E1" s="373"/>
      <x:c r="F1" s="373"/>
      <x:c r="G1" s="373"/>
      <x:c r="H1" s="373"/>
      <x:c r="I1" s="373"/>
      <x:c r="J1" s="373"/>
      <x:c r="K1" s="373"/>
      <x:c r="L1" s="373"/>
      <x:c r="M1" s="373"/>
      <x:c r="N1" s="373"/>
      <x:c r="O1" s="373"/>
      <x:c r="P1" s="373"/>
      <x:c r="Q1" s="373"/>
      <x:c r="R1" s="373"/>
      <x:c r="S1" s="373"/>
      <x:c r="T1" s="373"/>
    </x:row>
    <x:row r="2" ht="21" customHeight="1">
      <x:c r="A2" s="377" t="str">
        <x:v>자료 기준: 이번에 업로드한 1~9월 월별 전체 현장 파일  |  5번 시트는 집계에 사용하지 않음  |  대수 단위: 대</x:v>
      </x:c>
      <x:c r="B2" s="377"/>
      <x:c r="C2" s="377"/>
      <x:c r="D2" s="377"/>
      <x:c r="E2" s="377"/>
      <x:c r="F2" s="377"/>
      <x:c r="G2" s="377"/>
      <x:c r="H2" s="377"/>
      <x:c r="I2" s="377"/>
      <x:c r="J2" s="377"/>
      <x:c r="K2" s="377"/>
      <x:c r="L2" s="377"/>
      <x:c r="M2" s="377"/>
      <x:c r="N2" s="377"/>
      <x:c r="O2" s="377"/>
      <x:c r="P2" s="377"/>
      <x:c r="Q2" s="377"/>
      <x:c r="R2" s="377"/>
      <x:c r="S2" s="377"/>
      <x:c r="T2" s="377"/>
    </x:row>
    <x:row r="3" ht="21" customHeight="1">
      <x:c r="A3" s="377" t="str">
        <x:v>기타노조(건산·섬유 포함)는 원본에서 분리되지 않으므로 건산·섬유 개별 대수/비율은 공란. 상충 현장은 집계 보류하고 아래에 별도 기록.</x:v>
      </x:c>
      <x:c r="B3" s="377"/>
      <x:c r="C3" s="377"/>
      <x:c r="D3" s="377"/>
      <x:c r="E3" s="377"/>
      <x:c r="F3" s="377"/>
      <x:c r="G3" s="377"/>
      <x:c r="H3" s="377"/>
      <x:c r="I3" s="377"/>
      <x:c r="J3" s="377"/>
      <x:c r="K3" s="377"/>
      <x:c r="L3" s="377"/>
      <x:c r="M3" s="377"/>
      <x:c r="N3" s="377"/>
      <x:c r="O3" s="377"/>
      <x:c r="P3" s="377"/>
      <x:c r="Q3" s="377"/>
      <x:c r="R3" s="377"/>
      <x:c r="S3" s="377"/>
      <x:c r="T3" s="377"/>
    </x:row>
    <x:row r="4" ht="37" customHeight="1">
      <x:c r="A4" s="383" t="str">
        <x:v>월</x:v>
      </x:c>
      <x:c r="B4" s="383" t="str">
        <x:v>확정 현장수</x:v>
      </x:c>
      <x:c r="C4" s="383" t="str">
        <x:v>확정 총대수</x:v>
      </x:c>
      <x:c r="D4" s="383" t="str">
        <x:v>한노</x:v>
      </x:c>
      <x:c r="E4" s="383" t="str">
        <x:v>민노</x:v>
      </x:c>
      <x:c r="F4" s="383" t="str">
        <x:v>건산</x:v>
      </x:c>
      <x:c r="G4" s="383" t="str">
        <x:v>섬유</x:v>
      </x:c>
      <x:c r="H4" s="383" t="str">
        <x:v>기타노조 미분리</x:v>
      </x:c>
      <x:c r="I4" s="383" t="str">
        <x:v>비노조(직원)</x:v>
      </x:c>
      <x:c r="J4" s="383" t="str">
        <x:v>한노 비율</x:v>
      </x:c>
      <x:c r="K4" s="383" t="str">
        <x:v>민노 비율</x:v>
      </x:c>
      <x:c r="L4" s="383" t="str">
        <x:v>건산 비율</x:v>
      </x:c>
      <x:c r="M4" s="383" t="str">
        <x:v>섬유 비율</x:v>
      </x:c>
      <x:c r="N4" s="383" t="str">
        <x:v>기타노조 비율</x:v>
      </x:c>
      <x:c r="O4" s="383" t="str">
        <x:v>비노조 비율</x:v>
      </x:c>
      <x:c r="P4" s="383" t="str">
        <x:v>구성비율 합계</x:v>
      </x:c>
      <x:c r="Q4" s="383" t="str">
        <x:v>중복제외 행수</x:v>
      </x:c>
      <x:c r="R4" s="383" t="str">
        <x:v>상충현장 수</x:v>
      </x:c>
      <x:c r="S4" s="383" t="str">
        <x:v>검증상태</x:v>
      </x:c>
      <x:c r="T4" s="383" t="str">
        <x:v>원본 기준</x:v>
      </x:c>
    </x:row>
    <x:row r="5" ht="32" customHeight="1">
      <x:c r="A5" s="389" t="str">
        <x:v>1월</x:v>
      </x:c>
      <x:c r="B5" s="391" t="n">
        <x:v>93</x:v>
      </x:c>
      <x:c r="C5" s="400" t="n">
        <x:f>SUM(D5:I5)</x:f>
        <x:v>466</x:v>
      </x:c>
      <x:c r="D5" s="391" t="n">
        <x:v>164</x:v>
      </x:c>
      <x:c r="E5" s="391" t="n">
        <x:v>183</x:v>
      </x:c>
      <x:c r="F5" s="395"/>
      <x:c r="G5" s="395"/>
      <x:c r="H5" s="391" t="n">
        <x:v>50</x:v>
      </x:c>
      <x:c r="I5" s="391" t="n">
        <x:v>69</x:v>
      </x:c>
      <x:c r="J5" s="393" t="n">
        <x:f>IF(C5=0,0,D5/C5)</x:f>
        <x:v>0.351931330472103</x:v>
      </x:c>
      <x:c r="K5" s="393" t="n">
        <x:f>IF(C5=0,0,E5/C5)</x:f>
        <x:v>0.3927038626609442</x:v>
      </x:c>
      <x:c r="L5" s="397"/>
      <x:c r="M5" s="397"/>
      <x:c r="N5" s="393" t="n">
        <x:f>IF(C5=0,0,H5/C5)</x:f>
        <x:v>0.1072961373390558</x:v>
      </x:c>
      <x:c r="O5" s="393" t="n">
        <x:f>IF(C5=0,0,I5/C5)</x:f>
        <x:v>0.148068669527897</x:v>
      </x:c>
      <x:c r="P5" s="393" t="n">
        <x:f>IF(C5=0,0,SUM(J5:O5))</x:f>
        <x:v>1</x:v>
      </x:c>
      <x:c r="Q5" s="391" t="n">
        <x:v>0</x:v>
      </x:c>
      <x:c r="R5" s="391" t="n">
        <x:v>0</x:v>
      </x:c>
      <x:c r="S5" s="177" t="str">
        <x:v>검증 완료</x:v>
      </x:c>
      <x:c r="T5" s="403" t="str">
        <x:v>1월 채용(1).xlsx / 25.12.31 기준 현장별 채용비율 (시트 기준일은 2025.12.31)</x:v>
      </x:c>
    </x:row>
    <x:row r="6" ht="32" customHeight="1">
      <x:c r="A6" s="389" t="str">
        <x:v>2월</x:v>
      </x:c>
      <x:c r="B6" s="391" t="n">
        <x:v>99</x:v>
      </x:c>
      <x:c r="C6" s="400" t="n">
        <x:f>SUM(D6:I6)</x:f>
        <x:v>497</x:v>
      </x:c>
      <x:c r="D6" s="391" t="n">
        <x:v>169</x:v>
      </x:c>
      <x:c r="E6" s="391" t="n">
        <x:v>206</x:v>
      </x:c>
      <x:c r="F6" s="395"/>
      <x:c r="G6" s="395"/>
      <x:c r="H6" s="391" t="n">
        <x:v>55</x:v>
      </x:c>
      <x:c r="I6" s="391" t="n">
        <x:v>67</x:v>
      </x:c>
      <x:c r="J6" s="393" t="n">
        <x:f>IF(C6=0,0,D6/C6)</x:f>
        <x:v>0.34004024144869216</x:v>
      </x:c>
      <x:c r="K6" s="393" t="n">
        <x:f>IF(C6=0,0,E6/C6)</x:f>
        <x:v>0.41448692152917505</x:v>
      </x:c>
      <x:c r="L6" s="397"/>
      <x:c r="M6" s="397"/>
      <x:c r="N6" s="393" t="n">
        <x:f>IF(C6=0,0,H6/C6)</x:f>
        <x:v>0.11066398390342053</x:v>
      </x:c>
      <x:c r="O6" s="393" t="n">
        <x:f>IF(C6=0,0,I6/C6)</x:f>
        <x:v>0.13480885311871227</x:v>
      </x:c>
      <x:c r="P6" s="393" t="n">
        <x:f>IF(C6=0,0,SUM(J6:O6))</x:f>
        <x:v>0.9999999999999999</x:v>
      </x:c>
      <x:c r="Q6" s="391" t="n">
        <x:v>0</x:v>
      </x:c>
      <x:c r="R6" s="391" t="n">
        <x:v>0</x:v>
      </x:c>
      <x:c r="S6" s="177" t="str">
        <x:v>검증 완료</x:v>
      </x:c>
      <x:c r="T6" s="403" t="str">
        <x:v>2월 채용(1).xlsx / 전체명단 (26.02.28)</x:v>
      </x:c>
    </x:row>
    <x:row r="7" ht="32" customHeight="1">
      <x:c r="A7" s="404" t="str">
        <x:v>3월</x:v>
      </x:c>
      <x:c r="B7" s="405"/>
      <x:c r="C7" s="406" t="n">
        <x:f>SUM(D7:I7)</x:f>
        <x:v>496</x:v>
      </x:c>
      <x:c r="D7" s="405" t="n">
        <x:v>168</x:v>
      </x:c>
      <x:c r="E7" s="405" t="n">
        <x:v>204</x:v>
      </x:c>
      <x:c r="F7" s="405"/>
      <x:c r="G7" s="405"/>
      <x:c r="H7" s="405" t="n">
        <x:v>49</x:v>
      </x:c>
      <x:c r="I7" s="405" t="n">
        <x:v>75</x:v>
      </x:c>
      <x:c r="J7" s="407" t="n">
        <x:f>IF(C7=0,0,D7/C7)</x:f>
        <x:v>0.3387096774193548</x:v>
      </x:c>
      <x:c r="K7" s="407" t="n">
        <x:f>IF(C7=0,0,E7/C7)</x:f>
        <x:v>0.4112903225806452</x:v>
      </x:c>
      <x:c r="L7" s="407"/>
      <x:c r="M7" s="407"/>
      <x:c r="N7" s="407" t="n">
        <x:f>IF(C7=0,0,H7/C7)</x:f>
        <x:v>0.09879032258064516</x:v>
      </x:c>
      <x:c r="O7" s="407" t="n">
        <x:f>IF(C7=0,0,I7/C7)</x:f>
        <x:v>0.15120967741935484</x:v>
      </x:c>
      <x:c r="P7" s="407" t="n">
        <x:f>IF(C7=0,0,SUM(J7:O7))</x:f>
        <x:v>1</x:v>
      </x:c>
      <x:c r="Q7" s="405"/>
      <x:c r="R7" s="405"/>
      <x:c r="S7" s="408" t="str">
        <x:v>사용자 제공 3월 전체 수치 / 합계 일치 (현장별 검증 미실시)</x:v>
      </x:c>
      <x:c r="T7" s="409" t="str">
        <x:v>사용자 제공 3월 집계: 총496, 한노168, 민노204, 기타49, 직원75 / 타워설치·투입기사 점유율 동일</x:v>
      </x:c>
    </x:row>
    <x:row r="8" ht="32" customHeight="1">
      <x:c r="A8" s="404" t="str">
        <x:v>4월</x:v>
      </x:c>
      <x:c r="B8" s="405" t="n">
        <x:v>95</x:v>
      </x:c>
      <x:c r="C8" s="406" t="n">
        <x:f>SUM(D8:I8)</x:f>
        <x:v>440</x:v>
      </x:c>
      <x:c r="D8" s="405" t="n">
        <x:v>151</x:v>
      </x:c>
      <x:c r="E8" s="405" t="n">
        <x:v>188</x:v>
      </x:c>
      <x:c r="F8" s="405"/>
      <x:c r="G8" s="405"/>
      <x:c r="H8" s="405" t="n">
        <x:v>42</x:v>
      </x:c>
      <x:c r="I8" s="405" t="n">
        <x:v>59</x:v>
      </x:c>
      <x:c r="J8" s="407" t="n">
        <x:f>IF(C8=0,0,D8/C8)</x:f>
        <x:v>0.3431818181818182</x:v>
      </x:c>
      <x:c r="K8" s="407" t="n">
        <x:f>IF(C8=0,0,E8/C8)</x:f>
        <x:v>0.42727272727272725</x:v>
      </x:c>
      <x:c r="L8" s="407"/>
      <x:c r="M8" s="407"/>
      <x:c r="N8" s="407" t="n">
        <x:f>IF(C8=0,0,H8/C8)</x:f>
        <x:v>0.09545454545454546</x:v>
      </x:c>
      <x:c r="O8" s="407" t="n">
        <x:f>IF(C8=0,0,I8/C8)</x:f>
        <x:v>0.1340909090909091</x:v>
      </x:c>
      <x:c r="P8" s="407" t="n">
        <x:f>IF(C8=0,0,SUM(J8:O8))</x:f>
        <x:v>1</x:v>
      </x:c>
      <x:c r="Q8" s="405" t="n">
        <x:v>52</x:v>
      </x:c>
      <x:c r="R8" s="405" t="n">
        <x:v>4</x:v>
      </x:c>
      <x:c r="S8" s="408" t="str">
        <x:v>상충 현장 제외 / 부분집계</x:v>
      </x:c>
      <x:c r="T8" s="409" t="str">
        <x:v>4월달 경기지역본부 채용현황비율.xlsx / 26.04.27 기준 현장별 채용비율</x:v>
      </x:c>
    </x:row>
    <x:row r="9" ht="32" customHeight="1">
      <x:c r="A9" s="389" t="str">
        <x:v>5월</x:v>
      </x:c>
      <x:c r="B9" s="391" t="n">
        <x:v>99</x:v>
      </x:c>
      <x:c r="C9" s="400" t="n">
        <x:f>SUM(D9:I9)</x:f>
        <x:v>491</x:v>
      </x:c>
      <x:c r="D9" s="391" t="n">
        <x:v>169</x:v>
      </x:c>
      <x:c r="E9" s="391" t="n">
        <x:v>209</x:v>
      </x:c>
      <x:c r="F9" s="395"/>
      <x:c r="G9" s="395"/>
      <x:c r="H9" s="391" t="n">
        <x:v>47</x:v>
      </x:c>
      <x:c r="I9" s="391" t="n">
        <x:v>66</x:v>
      </x:c>
      <x:c r="J9" s="393" t="n">
        <x:f>IF(C9=0,0,D9/C9)</x:f>
        <x:v>0.34419551934826886</x:v>
      </x:c>
      <x:c r="K9" s="393" t="n">
        <x:f>IF(C9=0,0,E9/C9)</x:f>
        <x:v>0.4256619144602851</x:v>
      </x:c>
      <x:c r="L9" s="397"/>
      <x:c r="M9" s="397"/>
      <x:c r="N9" s="393" t="n">
        <x:f>IF(C9=0,0,H9/C9)</x:f>
        <x:v>0.09572301425661914</x:v>
      </x:c>
      <x:c r="O9" s="393" t="n">
        <x:f>IF(C9=0,0,I9/C9)</x:f>
        <x:v>0.13441955193482688</x:v>
      </x:c>
      <x:c r="P9" s="393" t="n">
        <x:f>IF(C9=0,0,SUM(J9:O9))</x:f>
        <x:v>1</x:v>
      </x:c>
      <x:c r="Q9" s="391" t="n">
        <x:v>0</x:v>
      </x:c>
      <x:c r="R9" s="391" t="n">
        <x:v>0</x:v>
      </x:c>
      <x:c r="S9" s="177" t="str">
        <x:v>검증 완료</x:v>
      </x:c>
      <x:c r="T9" s="403" t="str">
        <x:v>5월_채용현황수정완료(1).xlsx / 26.05.26 기준 현장별 채용비율</x:v>
      </x:c>
    </x:row>
    <x:row r="10" ht="32" customHeight="1">
      <x:c r="A10" s="404" t="str">
        <x:v>6월</x:v>
      </x:c>
      <x:c r="B10" s="405" t="n">
        <x:v>101</x:v>
      </x:c>
      <x:c r="C10" s="406" t="n">
        <x:f>SUM(D10:I10)</x:f>
        <x:v>504</x:v>
      </x:c>
      <x:c r="D10" s="405" t="n">
        <x:v>175</x:v>
      </x:c>
      <x:c r="E10" s="405" t="n">
        <x:v>215</x:v>
      </x:c>
      <x:c r="F10" s="405"/>
      <x:c r="G10" s="405"/>
      <x:c r="H10" s="405" t="n">
        <x:v>44</x:v>
      </x:c>
      <x:c r="I10" s="405" t="n">
        <x:v>70</x:v>
      </x:c>
      <x:c r="J10" s="407" t="n">
        <x:f>IF(C10=0,0,D10/C10)</x:f>
        <x:v>0.3472222222222222</x:v>
      </x:c>
      <x:c r="K10" s="407" t="n">
        <x:f>IF(C10=0,0,E10/C10)</x:f>
        <x:v>0.42658730158730157</x:v>
      </x:c>
      <x:c r="L10" s="407"/>
      <x:c r="M10" s="407"/>
      <x:c r="N10" s="407" t="n">
        <x:f>IF(C10=0,0,H10/C10)</x:f>
        <x:v>0.0873015873015873</x:v>
      </x:c>
      <x:c r="O10" s="407" t="n">
        <x:f>IF(C10=0,0,I10/C10)</x:f>
        <x:v>0.1388888888888889</x:v>
      </x:c>
      <x:c r="P10" s="407" t="n">
        <x:f>IF(C10=0,0,SUM(J10:O10))</x:f>
        <x:v>1</x:v>
      </x:c>
      <x:c r="Q10" s="405" t="n">
        <x:v>0</x:v>
      </x:c>
      <x:c r="R10" s="405" t="n">
        <x:v>1</x:v>
      </x:c>
      <x:c r="S10" s="408" t="str">
        <x:v>상충 현장 제외 / 부분집계</x:v>
      </x:c>
      <x:c r="T10" s="409" t="str">
        <x:v>6월_채용현황.xlsx / 26.05.26 기준 현장별 채용비율 (원본 시트명은 5월 기준으로 표기)</x:v>
      </x:c>
    </x:row>
    <x:row r="11" ht="32" customHeight="1">
      <x:c r="A11" s="389" t="str">
        <x:v>7월</x:v>
      </x:c>
      <x:c r="B11" s="391" t="n">
        <x:v>101</x:v>
      </x:c>
      <x:c r="C11" s="400" t="n">
        <x:f>SUM(D11:I11)</x:f>
        <x:v>512</x:v>
      </x:c>
      <x:c r="D11" s="391" t="n">
        <x:v>173</x:v>
      </x:c>
      <x:c r="E11" s="391" t="n">
        <x:v>222</x:v>
      </x:c>
      <x:c r="F11" s="395"/>
      <x:c r="G11" s="395"/>
      <x:c r="H11" s="391" t="n">
        <x:v>47</x:v>
      </x:c>
      <x:c r="I11" s="391" t="n">
        <x:v>70</x:v>
      </x:c>
      <x:c r="J11" s="393" t="n">
        <x:f>IF(C11=0,0,D11/C11)</x:f>
        <x:v>0.337890625</x:v>
      </x:c>
      <x:c r="K11" s="393" t="n">
        <x:f>IF(C11=0,0,E11/C11)</x:f>
        <x:v>0.43359375</x:v>
      </x:c>
      <x:c r="L11" s="397"/>
      <x:c r="M11" s="397"/>
      <x:c r="N11" s="393" t="n">
        <x:f>IF(C11=0,0,H11/C11)</x:f>
        <x:v>0.091796875</x:v>
      </x:c>
      <x:c r="O11" s="393" t="n">
        <x:f>IF(C11=0,0,I11/C11)</x:f>
        <x:v>0.13671875</x:v>
      </x:c>
      <x:c r="P11" s="393" t="n">
        <x:f>IF(C11=0,0,SUM(J11:O11))</x:f>
        <x:v>1</x:v>
      </x:c>
      <x:c r="Q11" s="391" t="n">
        <x:v>0</x:v>
      </x:c>
      <x:c r="R11" s="391" t="n">
        <x:v>0</x:v>
      </x:c>
      <x:c r="S11" s="177" t="str">
        <x:v>검증 완료</x:v>
      </x:c>
      <x:c r="T11" s="403" t="str">
        <x:v>7월_채용현황비율(1).xlsx / 26.07 기준 현장별 채용비율</x:v>
      </x:c>
    </x:row>
    <x:row r="12" ht="32" customHeight="1">
      <x:c r="A12" s="389" t="str">
        <x:v>8월</x:v>
      </x:c>
      <x:c r="B12" s="391" t="n">
        <x:v>107</x:v>
      </x:c>
      <x:c r="C12" s="400" t="n">
        <x:f>SUM(D12:I12)</x:f>
        <x:v>525</x:v>
      </x:c>
      <x:c r="D12" s="391" t="n">
        <x:v>177</x:v>
      </x:c>
      <x:c r="E12" s="391" t="n">
        <x:v>228</x:v>
      </x:c>
      <x:c r="F12" s="395"/>
      <x:c r="G12" s="395"/>
      <x:c r="H12" s="391" t="n">
        <x:v>47</x:v>
      </x:c>
      <x:c r="I12" s="391" t="n">
        <x:v>73</x:v>
      </x:c>
      <x:c r="J12" s="393" t="n">
        <x:f>IF(C12=0,0,D12/C12)</x:f>
        <x:v>0.33714285714285713</x:v>
      </x:c>
      <x:c r="K12" s="393" t="n">
        <x:f>IF(C12=0,0,E12/C12)</x:f>
        <x:v>0.4342857142857143</x:v>
      </x:c>
      <x:c r="L12" s="397"/>
      <x:c r="M12" s="397"/>
      <x:c r="N12" s="393" t="n">
        <x:f>IF(C12=0,0,H12/C12)</x:f>
        <x:v>0.08952380952380952</x:v>
      </x:c>
      <x:c r="O12" s="393" t="n">
        <x:f>IF(C12=0,0,I12/C12)</x:f>
        <x:v>0.13904761904761906</x:v>
      </x:c>
      <x:c r="P12" s="393" t="n">
        <x:f>IF(C12=0,0,SUM(J12:O12))</x:f>
        <x:v>1</x:v>
      </x:c>
      <x:c r="Q12" s="391" t="n">
        <x:v>0</x:v>
      </x:c>
      <x:c r="R12" s="391" t="n">
        <x:v>0</x:v>
      </x:c>
      <x:c r="S12" s="177" t="str">
        <x:v>검증 완료</x:v>
      </x:c>
      <x:c r="T12" s="403" t="str">
        <x:v>8월_채용현황비율(1).xlsx / 26.08 기준 현장별 채용비율</x:v>
      </x:c>
    </x:row>
    <x:row r="13" ht="32" customHeight="1">
      <x:c r="A13" s="389" t="str">
        <x:v>9월</x:v>
      </x:c>
      <x:c r="B13" s="391" t="n">
        <x:v>119</x:v>
      </x:c>
      <x:c r="C13" s="400" t="n">
        <x:f>SUM(D13:I13)</x:f>
        <x:v>546</x:v>
      </x:c>
      <x:c r="D13" s="391" t="n">
        <x:v>199</x:v>
      </x:c>
      <x:c r="E13" s="391" t="n">
        <x:v>237</x:v>
      </x:c>
      <x:c r="F13" s="395"/>
      <x:c r="G13" s="395"/>
      <x:c r="H13" s="391" t="n">
        <x:v>35</x:v>
      </x:c>
      <x:c r="I13" s="391" t="n">
        <x:v>75</x:v>
      </x:c>
      <x:c r="J13" s="393" t="n">
        <x:f>IF(C13=0,0,D13/C13)</x:f>
        <x:v>0.36446886446886445</x:v>
      </x:c>
      <x:c r="K13" s="393" t="n">
        <x:f>IF(C13=0,0,E13/C13)</x:f>
        <x:v>0.4340659340659341</x:v>
      </x:c>
      <x:c r="L13" s="397"/>
      <x:c r="M13" s="397"/>
      <x:c r="N13" s="393" t="n">
        <x:f>IF(C13=0,0,H13/C13)</x:f>
        <x:v>0.0641025641025641</x:v>
      </x:c>
      <x:c r="O13" s="393" t="n">
        <x:f>IF(C13=0,0,I13/C13)</x:f>
        <x:v>0.13736263736263737</x:v>
      </x:c>
      <x:c r="P13" s="393" t="n">
        <x:f>IF(C13=0,0,SUM(J13:O13))</x:f>
        <x:v>1</x:v>
      </x:c>
      <x:c r="Q13" s="391" t="n">
        <x:v>0</x:v>
      </x:c>
      <x:c r="R13" s="391" t="n">
        <x:v>0</x:v>
      </x:c>
      <x:c r="S13" s="177" t="str">
        <x:v>검증 완료</x:v>
      </x:c>
      <x:c r="T13" s="403" t="str">
        <x:v>9월_채용현황비율10.6 (1).xlsx / 26.08 기준 현장별 채용비율 (원본 시트명은 8월 기준으로 표기)</x:v>
      </x:c>
    </x:row>
    <x:row r="15" ht="20" customHeight="1">
      <x:c r="A15" s="416" t="str">
        <x:v>※ 월별 현황은 각 월의 설치·채용 상태를 보여주는 스냅샷으로, 여러 달 대수를 합산하면 같은 타워가 반복 계산될 수 있습니다.</x:v>
      </x:c>
      <x:c r="B15" s="416"/>
      <x:c r="C15" s="416"/>
      <x:c r="D15" s="416"/>
      <x:c r="E15" s="416"/>
      <x:c r="F15" s="416"/>
      <x:c r="G15" s="416"/>
      <x:c r="H15" s="416"/>
      <x:c r="I15" s="416"/>
      <x:c r="J15" s="416"/>
      <x:c r="K15" s="416"/>
      <x:c r="L15" s="416"/>
      <x:c r="M15" s="416"/>
      <x:c r="N15" s="416"/>
      <x:c r="O15" s="416"/>
      <x:c r="P15" s="416"/>
      <x:c r="Q15" s="416"/>
      <x:c r="R15" s="416"/>
      <x:c r="S15" s="416"/>
      <x:c r="T15" s="416"/>
    </x:row>
    <x:row r="16" ht="20" customHeight="1">
      <x:c r="A16" s="416" t="str">
        <x:v>※ 3월은 사용자 제공 월 전체 합계로 반영했습니다. 현장별 대조는 미실시. 4월·6월은 서로 상충하는 현장을 제외한 확인 가능 대수만 표시됩니다.</x:v>
      </x:c>
      <x:c r="B16" s="416"/>
      <x:c r="C16" s="416"/>
      <x:c r="D16" s="416"/>
      <x:c r="E16" s="416"/>
      <x:c r="F16" s="416"/>
      <x:c r="G16" s="416"/>
      <x:c r="H16" s="416"/>
      <x:c r="I16" s="416"/>
      <x:c r="J16" s="416"/>
      <x:c r="K16" s="416"/>
      <x:c r="L16" s="416"/>
      <x:c r="M16" s="416"/>
      <x:c r="N16" s="416"/>
      <x:c r="O16" s="416"/>
      <x:c r="P16" s="416"/>
      <x:c r="Q16" s="416"/>
      <x:c r="R16" s="416"/>
      <x:c r="S16" s="416"/>
      <x:c r="T16" s="416"/>
    </x:row>
    <x:row r="17" ht="20" customHeight="1">
      <x:c r="A17" s="416" t="str">
        <x:v>※ 빈칸인 건산·섬유 비율은 0%가 아니라 ‘원본에서 구분 불가’라는 의미입니다. L/M 합계가 아닌 H/I로 분리 기재합니다.</x:v>
      </x:c>
      <x:c r="B17" s="416"/>
      <x:c r="C17" s="416"/>
      <x:c r="D17" s="416"/>
      <x:c r="E17" s="416"/>
      <x:c r="F17" s="416"/>
      <x:c r="G17" s="416"/>
      <x:c r="H17" s="416"/>
      <x:c r="I17" s="416"/>
      <x:c r="J17" s="416"/>
      <x:c r="K17" s="416"/>
      <x:c r="L17" s="416"/>
      <x:c r="M17" s="416"/>
      <x:c r="N17" s="416"/>
      <x:c r="O17" s="416"/>
      <x:c r="P17" s="416"/>
      <x:c r="Q17" s="416"/>
      <x:c r="R17" s="416"/>
      <x:c r="S17" s="416"/>
      <x:c r="T17" s="416"/>
    </x:row>
    <x:row r="40" ht="26" customHeight="1">
      <x:c r="A40" s="418" t="str">
        <x:v>소속별 값이 서로 다른 중복 현장 · 확인 필요 (집계에서 제외)</x:v>
      </x:c>
      <x:c r="B40" s="418"/>
      <x:c r="C40" s="418"/>
      <x:c r="D40" s="418"/>
      <x:c r="E40" s="418"/>
      <x:c r="F40" s="418"/>
      <x:c r="G40" s="418"/>
      <x:c r="H40" s="418"/>
      <x:c r="I40" s="418"/>
      <x:c r="J40" s="418"/>
      <x:c r="K40" s="418"/>
      <x:c r="L40" s="418"/>
      <x:c r="M40" s="418"/>
      <x:c r="N40" s="418"/>
      <x:c r="O40" s="418"/>
      <x:c r="P40" s="418"/>
      <x:c r="Q40" s="418"/>
      <x:c r="R40" s="418"/>
      <x:c r="S40" s="418"/>
      <x:c r="T40" s="418"/>
    </x:row>
    <x:row r="41" ht="28" customHeight="1">
      <x:c r="A41" s="422" t="str">
        <x:v>월</x:v>
      </x:c>
      <x:c r="B41" s="422" t="str">
        <x:v>임대사</x:v>
      </x:c>
      <x:c r="C41" s="422"/>
      <x:c r="D41" s="422"/>
      <x:c r="E41" s="422" t="str">
        <x:v>원청사</x:v>
      </x:c>
      <x:c r="F41" s="422"/>
      <x:c r="G41" s="422"/>
      <x:c r="H41" s="422" t="str">
        <x:v>현장명</x:v>
      </x:c>
      <x:c r="I41" s="422"/>
      <x:c r="J41" s="422"/>
      <x:c r="K41" s="422"/>
      <x:c r="L41" s="422" t="str">
        <x:v>원본 행</x:v>
      </x:c>
      <x:c r="M41" s="422"/>
      <x:c r="N41" s="422" t="str">
        <x:v>기재된 상충값 (총/한노/민노/기타/직원)</x:v>
      </x:c>
      <x:c r="O41" s="422"/>
      <x:c r="P41" s="422"/>
      <x:c r="Q41" s="422"/>
      <x:c r="R41" s="422"/>
      <x:c r="S41" s="422"/>
      <x:c r="T41" s="422"/>
    </x:row>
    <x:row r="42" ht="66" customHeight="1">
      <x:c r="A42" s="403" t="str">
        <x:v>4월</x:v>
      </x:c>
      <x:c r="B42" s="403" t="str">
        <x:v>(주)규람타워렌탈</x:v>
      </x:c>
      <x:c r="C42" s="403"/>
      <x:c r="D42" s="403"/>
      <x:c r="E42" s="403" t="str">
        <x:v>에스케이에코플랜트(주)</x:v>
      </x:c>
      <x:c r="F42" s="403"/>
      <x:c r="G42" s="403"/>
      <x:c r="H42" s="403" t="str">
        <x:v>SK용인캠퍼스 업무지원동 신축공사</x:v>
      </x:c>
      <x:c r="I42" s="403"/>
      <x:c r="J42" s="403"/>
      <x:c r="K42" s="403"/>
      <x:c r="L42" s="403" t="str">
        <x:v>27, 54, 62, 96, 116, 137, 159</x:v>
      </x:c>
      <x:c r="M42" s="403"/>
      <x:c r="N42" s="403" t="str">
        <x:v>26/7/13/4/2 (6회) / 26/7/13/3/3 (1회)</x:v>
      </x:c>
      <x:c r="O42" s="403"/>
      <x:c r="P42" s="403"/>
      <x:c r="Q42" s="403"/>
      <x:c r="R42" s="403"/>
      <x:c r="S42" s="403"/>
      <x:c r="T42" s="403"/>
    </x:row>
    <x:row r="43" ht="66" customHeight="1">
      <x:c r="A43" s="403" t="str">
        <x:v>4월</x:v>
      </x:c>
      <x:c r="B43" s="403" t="str">
        <x:v>신우개발(주)</x:v>
      </x:c>
      <x:c r="C43" s="403"/>
      <x:c r="D43" s="403"/>
      <x:c r="E43" s="403" t="str">
        <x:v>삼성이앤에이(주)</x:v>
      </x:c>
      <x:c r="F43" s="403"/>
      <x:c r="G43" s="403"/>
      <x:c r="H43" s="403" t="str">
        <x:v>평택삼성 P4 대기방지</x:v>
      </x:c>
      <x:c r="I43" s="403"/>
      <x:c r="J43" s="403"/>
      <x:c r="K43" s="403"/>
      <x:c r="L43" s="403" t="str">
        <x:v>45, 53, 67, 108, 166</x:v>
      </x:c>
      <x:c r="M43" s="403"/>
      <x:c r="N43" s="403" t="str">
        <x:v>13/5/5/0/3 (1회) / 14/5/6/0/3 (4회)</x:v>
      </x:c>
      <x:c r="O43" s="403"/>
      <x:c r="P43" s="403"/>
      <x:c r="Q43" s="403"/>
      <x:c r="R43" s="403"/>
      <x:c r="S43" s="403"/>
      <x:c r="T43" s="403"/>
    </x:row>
    <x:row r="44" ht="66" customHeight="1">
      <x:c r="A44" s="403" t="str">
        <x:v>4월</x:v>
      </x:c>
      <x:c r="B44" s="403" t="str">
        <x:v>신우개발(주)</x:v>
      </x:c>
      <x:c r="C44" s="403"/>
      <x:c r="D44" s="403"/>
      <x:c r="E44" s="403" t="str">
        <x:v>삼성물산(주)</x:v>
      </x:c>
      <x:c r="F44" s="403"/>
      <x:c r="G44" s="403"/>
      <x:c r="H44" s="403" t="str">
        <x:v>판교 641 프로젝트</x:v>
      </x:c>
      <x:c r="I44" s="403"/>
      <x:c r="J44" s="403"/>
      <x:c r="K44" s="403"/>
      <x:c r="L44" s="403" t="str">
        <x:v>115, 133</x:v>
      </x:c>
      <x:c r="M44" s="403"/>
      <x:c r="N44" s="403" t="str">
        <x:v>2/1/1/0/0 (1회) / 4/1/2/0/1 (1회)</x:v>
      </x:c>
      <x:c r="O44" s="403"/>
      <x:c r="P44" s="403"/>
      <x:c r="Q44" s="403"/>
      <x:c r="R44" s="403"/>
      <x:c r="S44" s="403"/>
      <x:c r="T44" s="403"/>
    </x:row>
    <x:row r="45" ht="66" customHeight="1">
      <x:c r="A45" s="403" t="str">
        <x:v>4월</x:v>
      </x:c>
      <x:c r="B45" s="403" t="str">
        <x:v>(주)국영타워랜드</x:v>
      </x:c>
      <x:c r="C45" s="403"/>
      <x:c r="D45" s="403"/>
      <x:c r="E45" s="403" t="str">
        <x:v>롯데건설(주)</x:v>
      </x:c>
      <x:c r="F45" s="403"/>
      <x:c r="G45" s="403"/>
      <x:c r="H45" s="403" t="str">
        <x:v>안산중앙주공5-2 주택재건축사업</x:v>
      </x:c>
      <x:c r="I45" s="403"/>
      <x:c r="J45" s="403"/>
      <x:c r="K45" s="403"/>
      <x:c r="L45" s="403" t="str">
        <x:v>119, 121</x:v>
      </x:c>
      <x:c r="M45" s="403"/>
      <x:c r="N45" s="403" t="str">
        <x:v>5/2/2/1/0 (1회) / 5/2/2/0/1 (1회)</x:v>
      </x:c>
      <x:c r="O45" s="403"/>
      <x:c r="P45" s="403"/>
      <x:c r="Q45" s="403"/>
      <x:c r="R45" s="403"/>
      <x:c r="S45" s="403"/>
      <x:c r="T45" s="403"/>
    </x:row>
    <x:row r="46" ht="66" customHeight="1">
      <x:c r="A46" s="403" t="str">
        <x:v>6월</x:v>
      </x:c>
      <x:c r="B46" s="403" t="str">
        <x:v>(주)한진</x:v>
      </x:c>
      <x:c r="C46" s="403"/>
      <x:c r="D46" s="403"/>
      <x:c r="E46" s="403" t="str">
        <x:v>(주)대우건설</x:v>
      </x:c>
      <x:c r="F46" s="403"/>
      <x:c r="G46" s="403"/>
      <x:c r="H46" s="403" t="str">
        <x:v>산성구역 주택재개발 정비사업</x:v>
      </x:c>
      <x:c r="I46" s="403"/>
      <x:c r="J46" s="403"/>
      <x:c r="K46" s="403"/>
      <x:c r="L46" s="403" t="str">
        <x:v>19, 30</x:v>
      </x:c>
      <x:c r="M46" s="403"/>
      <x:c r="N46" s="403" t="str">
        <x:v>4/1/2/1/0 (1회) / 5/2/2/0/1 (1회)</x:v>
      </x:c>
      <x:c r="O46" s="403"/>
      <x:c r="P46" s="403"/>
      <x:c r="Q46" s="403"/>
      <x:c r="R46" s="403"/>
      <x:c r="S46" s="403"/>
      <x:c r="T46" s="403"/>
    </x:row>
    <x:row r="49" ht="20" customHeight="1">
      <x:c r="A49" s="426" t="str">
        <x:v>검증/처리 원칙: 현장 식별은 임대사+원청사+현장명, 동일값 반복은 1건, 값 상충은 전체 그룹을 보류. 총대수=한노+민노+기타노조+직원.</x:v>
      </x:c>
      <x:c r="B49" s="426"/>
      <x:c r="C49" s="426"/>
      <x:c r="D49" s="426"/>
      <x:c r="E49" s="426"/>
      <x:c r="F49" s="426"/>
      <x:c r="G49" s="426"/>
      <x:c r="H49" s="426"/>
      <x:c r="I49" s="426"/>
      <x:c r="J49" s="426"/>
      <x:c r="K49" s="426"/>
      <x:c r="L49" s="426"/>
      <x:c r="M49" s="426"/>
      <x:c r="N49" s="426"/>
      <x:c r="O49" s="426"/>
      <x:c r="P49" s="426"/>
      <x:c r="Q49" s="426"/>
      <x:c r="R49" s="426"/>
      <x:c r="S49" s="426"/>
      <x:c r="T49" s="426"/>
    </x:row>
    <x:row r="50" ht="20" customHeight="1">
      <x:c r="A50" s="426" t="str">
        <x:v>월별 비율은 각 소속 대수/해당 월 확정 총대수로 계산하고 0대·자료 없음에는 100%를 표시하지 않습니다. 출처는 각 월 업로드 파일명입니다.</x:v>
      </x:c>
      <x:c r="B50" s="426"/>
      <x:c r="C50" s="426"/>
      <x:c r="D50" s="426"/>
      <x:c r="E50" s="426"/>
      <x:c r="F50" s="426"/>
      <x:c r="G50" s="426"/>
      <x:c r="H50" s="426"/>
      <x:c r="I50" s="426"/>
      <x:c r="J50" s="426"/>
      <x:c r="K50" s="426"/>
      <x:c r="L50" s="426"/>
      <x:c r="M50" s="426"/>
      <x:c r="N50" s="426"/>
      <x:c r="O50" s="426"/>
      <x:c r="P50" s="426"/>
      <x:c r="Q50" s="426"/>
      <x:c r="R50" s="426"/>
      <x:c r="S50" s="426"/>
      <x:c r="T50" s="426"/>
    </x:row>
  </x:sheetData>
  <x:mergeCells>
    <x:mergeCell ref="A1:T1"/>
    <x:mergeCell ref="A2:T2"/>
    <x:mergeCell ref="A3:T3"/>
    <x:mergeCell ref="A15:T15"/>
    <x:mergeCell ref="A16:T16"/>
    <x:mergeCell ref="A17:T17"/>
    <x:mergeCell ref="A40:T40"/>
    <x:mergeCell ref="B41:D41"/>
    <x:mergeCell ref="E41:G41"/>
    <x:mergeCell ref="H41:K41"/>
    <x:mergeCell ref="L41:M41"/>
    <x:mergeCell ref="N41:T41"/>
    <x:mergeCell ref="B42:D42"/>
    <x:mergeCell ref="E42:G42"/>
    <x:mergeCell ref="H42:K42"/>
    <x:mergeCell ref="L42:M42"/>
    <x:mergeCell ref="N42:T42"/>
    <x:mergeCell ref="B43:D43"/>
    <x:mergeCell ref="E43:G43"/>
    <x:mergeCell ref="H43:K43"/>
    <x:mergeCell ref="L43:M43"/>
    <x:mergeCell ref="N43:T43"/>
    <x:mergeCell ref="B44:D44"/>
    <x:mergeCell ref="E44:G44"/>
    <x:mergeCell ref="H44:K44"/>
    <x:mergeCell ref="L44:M44"/>
    <x:mergeCell ref="N44:T44"/>
    <x:mergeCell ref="B45:D45"/>
    <x:mergeCell ref="E45:G45"/>
    <x:mergeCell ref="H45:K45"/>
    <x:mergeCell ref="L45:M45"/>
    <x:mergeCell ref="N45:T45"/>
    <x:mergeCell ref="B46:D46"/>
    <x:mergeCell ref="E46:G46"/>
    <x:mergeCell ref="H46:K46"/>
    <x:mergeCell ref="L46:M46"/>
    <x:mergeCell ref="N46:T46"/>
    <x:mergeCell ref="A49:T49"/>
    <x:mergeCell ref="A50:T50"/>
  </x:mergeCells>
  <x:pageMargins left="0.7" right="0.7" top="0.75" bottom="0.75" header="0.3" footer="0.3"/>
  <x:drawing xmlns:r="http://schemas.openxmlformats.org/officeDocument/2006/relationships" r:id="Ra4bed8e122bc4f5c"/>
</x:worksheet>
</file>