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2f2134b184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dc648a3dac7a47f0"/>
    <x:sheet xmlns:r="http://schemas.openxmlformats.org/officeDocument/2006/relationships" name="2.각8개지부 현장점유율" sheetId="2" r:id="Rcb8e7fda0fd74fe2"/>
    <x:sheet xmlns:r="http://schemas.openxmlformats.org/officeDocument/2006/relationships" name="3.타워사별 점유현황" sheetId="3" r:id="R708485327fb24042"/>
    <x:sheet xmlns:r="http://schemas.openxmlformats.org/officeDocument/2006/relationships" name="4.반도체현장" sheetId="4" r:id="Rdebf075fddaa429f"/>
    <x:sheet xmlns:r="http://schemas.openxmlformats.org/officeDocument/2006/relationships" name="5.1~9월채용추이" sheetId="5" r:id="R327db8af94624522"/>
    <x:sheet xmlns:r="http://schemas.openxmlformats.org/officeDocument/2006/relationships" name="6.월별 소속별 채용비율" sheetId="6" r:id="Rc8b70911f15b46cb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<x:sst xmlns:x="http://schemas.openxmlformats.org/spreadsheetml/2006/main">
  <x:si>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</x:si>
  <x:si>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</x:si>
  <x:si>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</x:si>
  <x:si>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</x:si>
  <x:si>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</x:si>
  <x:si>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</x:si>
  <x:si>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</x:si>
  <x:si>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</x:si>
  <x:si>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</x:si>
  <x:si>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</x:si>
  <x:si>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</x:si>
  <x:si>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</x:si>
  <x:si>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</x:si>
  <x:si>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</x:si>
  <x:si>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</x:si>
  <x:si>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</x:si>
  <x:si>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</x:si>
  <x:si>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</x:si>
  <x:si>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</x:si>
  <x:si>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</x:si>
  <x:si>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</x:si>
  <x:si>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</x:si>
  <x:si>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</x:si>
  <x:si>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</x:si>
  <x:si>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</x:si>
  <x:si>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</x:si>
  <x:si>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</x:si>
  <x:si>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</x:si>
  <x:si>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</x:si>
  <x:si>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</x:si>
  <x:si>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</x:si>
  <x:si>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</x:si>
  <x:si>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</x:si>
  <x:si>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</x:si>
  <x:si>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</x:si>
  <x:si>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</x:si>
  <x:si>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</x:si>
  <x:si>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</x:si>
  <x:si>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</x:si>
  <x:si>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</x:si>
  <x:si>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</x:si>
  <x:si>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</x:si>
  <x:si>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</x:si>
  <x:si>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</x:si>
  <x:si>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</x:si>
  <x:si>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</x:si>
  <x:si>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</x:si>
  <x:si>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</x:si>
  <x:si>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</x:si>
  <x:si>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</x:si>
  <x:si>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</x:si>
  <x:si>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</x:si>
  <x:si>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</x:si>
  <x:si>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</x:si>
  <x:si>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</x:si>
  <x:si>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</x:si>
  <x:si>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</x:si>
  <x:si>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</x:si>
  <x:si>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</x:si>
  <x:si>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</x:si>
  <x:si>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</x:si>
  <x:si>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</x:si>
  <x:si>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</x:si>
  <x:si>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</x:si>
  <x:si>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</x:si>
  <x:si>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</x:si>
  <x:si>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</x:si>
  <x:si>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</x:si>
  <x:si>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</x:si>
  <x:si>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</x:si>
  <x:si>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</x:si>
  <x:si>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</x:si>
  <x:si>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</x:si>
  <x:si>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</x:si>
  <x:si>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</x:si>
  <x:si>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</x:si>
  <x:si>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</x:si>
  <x:si>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</x:si>
  <x:si>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</x:si>
  <x:si>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</x:si>
  <x:si>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</x:si>
  <x:si>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</x:si>
  <x:si>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</x:si>
  <x:si>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</x:si>
  <x:si>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</x:si>
  <x:si>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</x:si>
  <x:si>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</x:si>
  <x:si>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</x:si>
  <x:si>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</x:si>
  <x:si>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</x:si>
  <x:si>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</x:si>
  <x:si>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</x:si>
  <x:si>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</x:si>
  <x:si>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</x:si>
  <x:si>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</x:si>
  <x:si>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</x:si>
  <x:si>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</x:si>
  <x:si>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</x:si>
  <x:si>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</x:si>
  <x:si>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</x:si>
  <x:si>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</x:si>
  <x:si>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</x:si>
  <x:si>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</x:si>
  <x:si>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</x:si>
  <x:si>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</x:si>
  <x:si>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</x:si>
  <x:si>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</x:si>
  <x:si>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</x:si>
  <x:si>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</x:si>
  <x:si>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</x:si>
  <x:si>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</x:si>
  <x:si>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</x:si>
  <x:si>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</x:si>
  <x:si>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</x:si>
  <x:si>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</x:si>
  <x:si>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</x:si>
  <x:si>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</x:si>
  <x:si>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</x:si>
  <x:si>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</x:si>
  <x:si>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</x:si>
  <x:si>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합 계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</x:si>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</x:sst>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71783430924b33" /><Relationship Type="http://schemas.openxmlformats.org/officeDocument/2006/relationships/theme" Target="/xl/theme/theme1.xml" Id="Re13868a4718f49f4" /><Relationship Type="http://schemas.openxmlformats.org/officeDocument/2006/relationships/sharedStrings" Target="/xl/sharedStrings.xml" Id="Re9462352e2a8415b" /><Relationship Type="http://schemas.openxmlformats.org/officeDocument/2006/relationships/worksheet" Target="/xl/worksheets/sheet1.xml" Id="Rdc648a3dac7a47f0" /><Relationship Type="http://schemas.openxmlformats.org/officeDocument/2006/relationships/worksheet" Target="/xl/worksheets/sheet2.xml" Id="Rcb8e7fda0fd74fe2" /><Relationship Type="http://schemas.openxmlformats.org/officeDocument/2006/relationships/worksheet" Target="/xl/worksheets/sheet3.xml" Id="R708485327fb24042" /><Relationship Type="http://schemas.openxmlformats.org/officeDocument/2006/relationships/worksheet" Target="/xl/worksheets/sheet4.xml" Id="Rdebf075fddaa429f" /><Relationship Type="http://schemas.openxmlformats.org/officeDocument/2006/relationships/worksheet" Target="/xl/worksheets/sheet5.xml" Id="R327db8af94624522" /><Relationship Type="http://schemas.openxmlformats.org/officeDocument/2006/relationships/worksheet" Target="/xl/worksheets/sheet6.xml" Id="Rc8b70911f15b46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220ef0ecd4401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220ef0ecd440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543fe3a1e9d14d29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 t="n">
        <x:v>71</x:v>
      </x:c>
      <x:c r="C3" s="567" t="n">
        <x:v>102</x:v>
      </x:c>
      <x:c r="D3" s="567" t="n">
        <x:v>8</x:v>
      </x:c>
      <x:c r="E3" s="567" t="n">
        <x:v>10</x:v>
      </x:c>
      <x:c r="F3" s="567" t="n">
        <x:v>41</x:v>
      </x:c>
      <x:c r="G3" s="567" t="n">
        <x:v>14</x:v>
      </x:c>
      <x:c r="H3" s="567" t="n">
        <x:f>SUM(B3:G3)</x:f>
        <x:v>246</x:v>
      </x:c>
      <x:c r="I3" s="9" t="s">
        <x:v>11</x:v>
      </x:c>
    </x:row>
    <x:row r="4">
      <x:c r="A4" s="10" t="s">
        <x:v>9</x:v>
      </x:c>
      <x:c r="B4" s="32" t="n">
        <x:f t="shared" ref="B4:G4" si="0">IF($H$3=0,0,B3/$H$3)</x:f>
        <x:v>0.2886178861788618</x:v>
      </x:c>
      <x:c r="C4" s="32" t="n">
        <x:f t="shared" si="0">IF($H$3=0,0,C3/$H$3)</x:f>
        <x:v>0.4146341463414634</x:v>
      </x:c>
      <x:c r="D4" s="32" t="n">
        <x:f t="shared" si="0">IF($H$3=0,0,D3/$H$3)</x:f>
        <x:v>0.032520325203252036</x:v>
      </x:c>
      <x:c r="E4" s="32" t="n">
        <x:f t="shared" si="0">IF($H$3=0,0,E3/$H$3)</x:f>
        <x:v>0.04065040650406504</x:v>
      </x:c>
      <x:c r="F4" s="32" t="n">
        <x:f t="shared" si="0">IF($H$3=0,0,F3/$H$3)</x:f>
        <x:v>0.16666666666666666</x:v>
      </x:c>
      <x:c r="G4" s="32" t="n">
        <x:f t="shared" si="0">IF($H$3=0,0,G3/$H$3)</x:f>
        <x:v>0.056910569105691054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38" t="str">
        <x:v>남부지부 소계</x:v>
      </x:c>
      <x:c r="B26" s="38"/>
      <x:c r="C26" s="38"/>
      <x:c r="D26" s="38"/>
      <x:c r="E26" s="540" t="n">
        <x:f>SUM(E8:E25)</x:f>
        <x:v>22</x:v>
      </x:c>
      <x:c r="F26" s="540" t="n">
        <x:f>SUM(F8:F25)</x:f>
        <x:v>39</x:v>
      </x:c>
      <x:c r="G26" s="540" t="n">
        <x:f>SUM(G8:G25)</x:f>
        <x:v>2</x:v>
      </x:c>
      <x:c r="H26" s="540" t="n">
        <x:f>SUM(H8:H25)</x:f>
        <x:v>4</x:v>
      </x:c>
      <x:c r="I26" s="540" t="n">
        <x:f>SUM(I8:I25)</x:f>
        <x:v>13</x:v>
      </x:c>
      <x:c r="J26" s="540" t="n">
        <x:f>SUM(J8:J25)</x:f>
        <x:v>3</x:v>
      </x:c>
      <x:c r="K26" s="540" t="n">
        <x:f>SUM(K8:K25)</x:f>
        <x:v>83</x:v>
      </x:c>
      <x:c r="L26" s="38"/>
    </x:row>
    <x:row r="27" s="14" customFormat="1">
      <x:c r="A27" s="86" t="str">
        <x:v>소계퍼센테이지</x:v>
      </x:c>
      <x:c r="B27" s="86"/>
      <x:c r="C27" s="86"/>
      <x:c r="D27" s="86"/>
      <x:c r="E27" s="150" t="n">
        <x:f>IF($K$26=0,0,E26/$K$26)</x:f>
        <x:v>0.26506024096385544</x:v>
      </x:c>
      <x:c r="F27" s="150" t="n">
        <x:f>IF($K$26=0,0,F26/$K$26)</x:f>
        <x:v>0.46987951807228917</x:v>
      </x:c>
      <x:c r="G27" s="150" t="n">
        <x:f>IF($K$26=0,0,G26/$K$26)</x:f>
        <x:v>0.024096385542168676</x:v>
      </x:c>
      <x:c r="H27" s="150" t="n">
        <x:f>IF($K$26=0,0,H26/$K$26)</x:f>
        <x:v>0.04819277108433735</x:v>
      </x:c>
      <x:c r="I27" s="150" t="n">
        <x:f>IF($K$26=0,0,I26/$K$26)</x:f>
        <x:v>0.1566265060240964</x:v>
      </x:c>
      <x:c r="J27" s="150" t="n">
        <x:f>IF($K$26=0,0,J26/$K$26)</x:f>
        <x:v>0.03614457831325301</x:v>
      </x:c>
      <x:c r="K27" s="150" t="n">
        <x:f>IF($K$26=0,0,K26/$K$26)</x:f>
        <x:v>1</x:v>
      </x:c>
      <x:c r="L27" s="86"/>
    </x:row>
    <x:row r="28" s="14" customFormat="1" ht="17.25">
      <x:c r="A28" s="83" t="str">
        <x:v>남서</x:v>
      </x:c>
      <x:c r="B28" s="84" t="str">
        <x:v>남양우미린</x:v>
      </x:c>
      <x:c r="C28" s="84" t="str">
        <x:v>뉴월드타워 주식회사</x:v>
      </x:c>
      <x:c r="D28" s="84"/>
      <x:c r="E28" s="545" t="n">
        <x:v>1</x:v>
      </x:c>
      <x:c r="F28" s="545" t="n">
        <x:v>1</x:v>
      </x:c>
      <x:c r="G28" s="545" t="n">
        <x:v>0</x:v>
      </x:c>
      <x:c r="H28" s="545" t="n">
        <x:v>0</x:v>
      </x:c>
      <x:c r="I28" s="545" t="n">
        <x:v>1</x:v>
      </x:c>
      <x:c r="J28" s="545" t="n">
        <x:v>0</x:v>
      </x:c>
      <x:c r="K28" s="545" t="n">
        <x:v>3</x:v>
      </x:c>
      <x:c r="L28" s="84"/>
    </x:row>
    <x:row r="29" s="14" customFormat="1" ht="17.25">
      <x:c r="A29" s="108" t="str">
        <x:v>남서</x:v>
      </x:c>
      <x:c r="B29" s="109" t="str">
        <x:v>화성비봉 지역주택조합 아파트 신축공사</x:v>
      </x:c>
      <x:c r="C29" s="109" t="str">
        <x:v>주식회사 삼진타워</x:v>
      </x:c>
      <x:c r="D29" s="109"/>
      <x:c r="E29" s="549" t="n">
        <x:v>1</x:v>
      </x:c>
      <x:c r="F29" s="546" t="n">
        <x:v>1</x:v>
      </x:c>
      <x:c r="G29" s="546" t="n">
        <x:v>0</x:v>
      </x:c>
      <x:c r="H29" s="546" t="n">
        <x:v>0</x:v>
      </x:c>
      <x:c r="I29" s="546" t="n">
        <x:v>1</x:v>
      </x:c>
      <x:c r="J29" s="546" t="n">
        <x:v>2</x:v>
      </x:c>
      <x:c r="K29" s="547" t="n">
        <x:v>5</x:v>
      </x:c>
      <x:c r="L29" s="109"/>
    </x:row>
    <x:row r="30">
      <x:c r="A30" s="120" t="str">
        <x:v>남서</x:v>
      </x:c>
      <x:c r="B30" s="120" t="str">
        <x:v>오산세교2지구 M1블록 민간임대 주상복합 신축공사</x:v>
      </x:c>
      <x:c r="C30" s="120" t="str">
        <x:v>(주)남산공영</x:v>
      </x:c>
      <x:c r="D30" s="121"/>
      <x:c r="E30" s="550" t="n">
        <x:v>1</x:v>
      </x:c>
      <x:c r="F30" s="550" t="n">
        <x:v>1</x:v>
      </x:c>
      <x:c r="G30" s="550" t="n">
        <x:v>0</x:v>
      </x:c>
      <x:c r="H30" s="550" t="n">
        <x:v>0</x:v>
      </x:c>
      <x:c r="I30" s="550" t="n">
        <x:v>0</x:v>
      </x:c>
      <x:c r="J30" s="550" t="n">
        <x:v>2</x:v>
      </x:c>
      <x:c r="K30" s="548" t="n">
        <x:v>4</x:v>
      </x:c>
      <x:c r="L30" s="120"/>
    </x:row>
    <x:row r="31">
      <x:c r="A31" s="151" t="str">
        <x:v>남서</x:v>
      </x:c>
      <x:c r="B31" s="151" t="str">
        <x:v>오산 AMK R&amp;D</x:v>
      </x:c>
      <x:c r="C31" s="151" t="str">
        <x:v>신우개발(주)</x:v>
      </x:c>
      <x:c r="D31" s="151"/>
      <x:c r="E31" s="551" t="n">
        <x:v>1</x:v>
      </x:c>
      <x:c r="F31" s="551" t="n">
        <x:v>0</x:v>
      </x:c>
      <x:c r="G31" s="551" t="n">
        <x:v>0</x:v>
      </x:c>
      <x:c r="H31" s="551" t="n">
        <x:v>0</x:v>
      </x:c>
      <x:c r="I31" s="551" t="n">
        <x:v>0</x:v>
      </x:c>
      <x:c r="J31" s="551" t="n">
        <x:v>0</x:v>
      </x:c>
      <x:c r="K31" s="539" t="n">
        <x:f>SUM(E31:J31)</x:f>
        <x:v>1</x:v>
      </x:c>
      <x:c r="L31" s="119"/>
    </x:row>
    <x:row r="32" s="14" customFormat="1">
      <x:c r="A32" s="153" t="str">
        <x:v>남서</x:v>
      </x:c>
      <x:c r="B32" s="153" t="str">
        <x:v>오산세교우미린레이크시티</x:v>
      </x:c>
      <x:c r="C32" s="153" t="str">
        <x:v>뉴월드타워 주식회사</x:v>
      </x:c>
      <x:c r="D32" s="153"/>
      <x:c r="E32" s="540" t="n">
        <x:v>2</x:v>
      </x:c>
      <x:c r="F32" s="540" t="n">
        <x:v>4</x:v>
      </x:c>
      <x:c r="G32" s="540" t="n">
        <x:v>1</x:v>
      </x:c>
      <x:c r="H32" s="540" t="n">
        <x:v>0</x:v>
      </x:c>
      <x:c r="I32" s="540" t="n">
        <x:v>1</x:v>
      </x:c>
      <x:c r="J32" s="540" t="n">
        <x:v>0</x:v>
      </x:c>
      <x:c r="K32" s="541" t="n">
        <x:v>8</x:v>
      </x:c>
      <x:c r="L32" s="38"/>
    </x:row>
    <x:row r="33" s="14" customFormat="1">
      <x:c r="A33" s="38" t="str">
        <x:v>남서지부 소계</x:v>
      </x:c>
      <x:c r="B33" s="38"/>
      <x:c r="C33" s="38"/>
      <x:c r="D33" s="38"/>
      <x:c r="E33" s="540" t="n">
        <x:f>SUM(E28:E32)</x:f>
        <x:v>6</x:v>
      </x:c>
      <x:c r="F33" s="540" t="n">
        <x:f>SUM(F28:F32)</x:f>
        <x:v>7</x:v>
      </x:c>
      <x:c r="G33" s="540" t="n">
        <x:f>SUM(G28:G32)</x:f>
        <x:v>1</x:v>
      </x:c>
      <x:c r="H33" s="540" t="n">
        <x:f>SUM(H28:H32)</x:f>
        <x:v>0</x:v>
      </x:c>
      <x:c r="I33" s="540" t="n">
        <x:f>SUM(I28:I32)</x:f>
        <x:v>3</x:v>
      </x:c>
      <x:c r="J33" s="540" t="n">
        <x:f>SUM(J28:J32)</x:f>
        <x:v>4</x:v>
      </x:c>
      <x:c r="K33" s="540" t="n">
        <x:f>SUM(K28:K32)</x:f>
        <x:v>21</x:v>
      </x:c>
      <x:c r="L33" s="38"/>
    </x:row>
    <x:row r="34" s="14" customFormat="1" ht="17.25">
      <x:c r="A34" s="83" t="str">
        <x:v>소계퍼센테이지</x:v>
      </x:c>
      <x:c r="B34" s="84"/>
      <x:c r="C34" s="84"/>
      <x:c r="D34" s="84"/>
      <x:c r="E34" s="565" t="n">
        <x:f>IF($K$33=0,0,E33/$K$33)</x:f>
        <x:v>0.2857142857142857</x:v>
      </x:c>
      <x:c r="F34" s="565" t="n">
        <x:f>IF($K$33=0,0,F33/$K$33)</x:f>
        <x:v>0.3333333333333333</x:v>
      </x:c>
      <x:c r="G34" s="565" t="n">
        <x:f>IF($K$33=0,0,G33/$K$33)</x:f>
        <x:v>0.047619047619047616</x:v>
      </x:c>
      <x:c r="H34" s="565" t="n">
        <x:f>IF($K$33=0,0,H33/$K$33)</x:f>
        <x:v>0</x:v>
      </x:c>
      <x:c r="I34" s="565" t="n">
        <x:f>IF($K$33=0,0,I33/$K$33)</x:f>
        <x:v>0.14285714285714285</x:v>
      </x:c>
      <x:c r="J34" s="565" t="n">
        <x:f>IF($K$33=0,0,J33/$K$33)</x:f>
        <x:v>0.19047619047619047</x:v>
      </x:c>
      <x:c r="K34" s="565" t="n">
        <x:f>IF($K$33=0,0,K33/$K$33)</x:f>
        <x:v>1</x:v>
      </x:c>
      <x:c r="L34" s="84"/>
    </x:row>
    <x:row r="35">
      <x:c r="A35" s="108" t="str">
        <x:v>동부</x:v>
      </x:c>
      <x:c r="B35" s="110" t="str">
        <x:v>이천한양</x:v>
      </x:c>
      <x:c r="C35" s="110" t="str">
        <x:v>주식회사 현성건설</x:v>
      </x:c>
      <x:c r="D35" s="110" t="str">
        <x:v>현성</x:v>
      </x:c>
      <x:c r="E35" s="98" t="n">
        <x:v>0</x:v>
      </x:c>
      <x:c r="F35" s="98" t="n">
        <x:v>2</x:v>
      </x:c>
      <x:c r="G35" s="98" t="n">
        <x:v>0</x:v>
      </x:c>
      <x:c r="H35" s="98" t="n">
        <x:v>0</x:v>
      </x:c>
      <x:c r="I35" s="98" t="n">
        <x:v>0</x:v>
      </x:c>
      <x:c r="J35" s="98" t="n">
        <x:v>2</x:v>
      </x:c>
      <x:c r="K35" s="98" t="n">
        <x:v>0</x:v>
      </x:c>
      <x:c r="L35" s="110" t="str">
        <x:v>통계제외</x:v>
      </x:c>
    </x:row>
    <x:row r="36">
      <x:c r="A36" s="115" t="str">
        <x:v>동부</x:v>
      </x:c>
      <x:c r="B36" s="115" t="str">
        <x:v>요진건설</x:v>
      </x:c>
      <x:c r="C36" s="115" t="str">
        <x:v>주식회사 한산타워</x:v>
      </x:c>
      <x:c r="D36" s="115"/>
      <x:c r="E36" s="537" t="n">
        <x:v>1</x:v>
      </x:c>
      <x:c r="F36" s="537" t="n">
        <x:v>1</x:v>
      </x:c>
      <x:c r="G36" s="537" t="n">
        <x:v>0</x:v>
      </x:c>
      <x:c r="H36" s="537" t="n">
        <x:v>0</x:v>
      </x:c>
      <x:c r="I36" s="537" t="n">
        <x:v>0</x:v>
      </x:c>
      <x:c r="J36" s="537" t="n">
        <x:v>0</x:v>
      </x:c>
      <x:c r="K36" s="548" t="n">
        <x:v>2</x:v>
      </x:c>
      <x:c r="L36" s="118"/>
    </x:row>
    <x:row r="37">
      <x:c r="A37" s="151" t="str">
        <x:v>동부</x:v>
      </x:c>
      <x:c r="B37" s="151" t="str">
        <x:v>홍문2지구 공동주택</x:v>
      </x:c>
      <x:c r="C37" s="151" t="str">
        <x:v>(주)한진</x:v>
      </x:c>
      <x:c r="D37" s="151"/>
      <x:c r="E37" s="551" t="n">
        <x:v>1</x:v>
      </x:c>
      <x:c r="F37" s="551" t="n">
        <x:v>1</x:v>
      </x:c>
      <x:c r="G37" s="551"/>
      <x:c r="H37" s="551"/>
      <x:c r="I37" s="551"/>
      <x:c r="J37" s="551" t="n">
        <x:v>2</x:v>
      </x:c>
      <x:c r="K37" s="539" t="n">
        <x:v>4</x:v>
      </x:c>
      <x:c r="L37" s="119"/>
    </x:row>
    <x:row r="38">
      <x:c r="A38" s="154" t="str">
        <x:v>동부</x:v>
      </x:c>
      <x:c r="B38" s="154" t="str">
        <x:v>이천 증포5지구 칸타빌 에듀파크 신축공사</x:v>
      </x:c>
      <x:c r="C38" s="154" t="str">
        <x:v>국제산업렌탈(주)</x:v>
      </x:c>
      <x:c r="D38" s="154"/>
      <x:c r="E38" s="542" t="n">
        <x:v>1</x:v>
      </x:c>
      <x:c r="F38" s="542" t="n">
        <x:v>2</x:v>
      </x:c>
      <x:c r="G38" s="542" t="n">
        <x:v>0</x:v>
      </x:c>
      <x:c r="H38" s="542" t="n">
        <x:v>0</x:v>
      </x:c>
      <x:c r="I38" s="542" t="n">
        <x:v>0</x:v>
      </x:c>
      <x:c r="J38" s="542" t="n">
        <x:v>0</x:v>
      </x:c>
      <x:c r="K38" s="543" t="n">
        <x:f>SUM(E38:J38)</x:f>
        <x:v>3</x:v>
      </x:c>
      <x:c r="L38" s="82"/>
    </x:row>
    <x:row r="39">
      <x:c r="A39" s="43" t="str">
        <x:v>동부</x:v>
      </x:c>
      <x:c r="B39" s="43" t="str">
        <x:v>경안2지구 도시개발사업 주상복합 신축공사</x:v>
      </x:c>
      <x:c r="C39" s="43" t="str">
        <x:v>(주)예림타워</x:v>
      </x:c>
      <x:c r="D39" s="88"/>
      <x:c r="E39" s="542" t="n">
        <x:v>1</x:v>
      </x:c>
      <x:c r="F39" s="542" t="n">
        <x:v>1</x:v>
      </x:c>
      <x:c r="G39" s="542" t="n">
        <x:v>0</x:v>
      </x:c>
      <x:c r="H39" s="542" t="n">
        <x:v>0</x:v>
      </x:c>
      <x:c r="I39" s="542" t="n">
        <x:v>0</x:v>
      </x:c>
      <x:c r="J39" s="542" t="n">
        <x:v>0</x:v>
      </x:c>
      <x:c r="K39" s="543" t="n">
        <x:v>2</x:v>
      </x:c>
      <x:c r="L39" s="82"/>
    </x:row>
    <x:row r="40">
      <x:c r="A40" s="43" t="str">
        <x:v>동부지부 소계</x:v>
      </x:c>
      <x:c r="B40" s="43"/>
      <x:c r="C40" s="43"/>
      <x:c r="D40" s="43"/>
      <x:c r="E40" s="542" t="n">
        <x:f>SUM(E36:E39)</x:f>
        <x:v>4</x:v>
      </x:c>
      <x:c r="F40" s="542" t="n">
        <x:f>SUM(F36:F39)</x:f>
        <x:v>5</x:v>
      </x:c>
      <x:c r="G40" s="542" t="n">
        <x:f>SUM(G36:G39)</x:f>
        <x:v>0</x:v>
      </x:c>
      <x:c r="H40" s="542" t="n">
        <x:f>SUM(H36:H39)</x:f>
        <x:v>0</x:v>
      </x:c>
      <x:c r="I40" s="542" t="n">
        <x:f>SUM(I36:I39)</x:f>
        <x:v>0</x:v>
      </x:c>
      <x:c r="J40" s="542" t="n">
        <x:f>SUM(J36:J39)</x:f>
        <x:v>2</x:v>
      </x:c>
      <x:c r="K40" s="543" t="n">
        <x:f>SUM(K36:K39)</x:f>
        <x:v>11</x:v>
      </x:c>
      <x:c r="L40" s="82"/>
    </x:row>
    <x:row r="41">
      <x:c r="A41" s="43" t="str">
        <x:v>소계퍼센테이지</x:v>
      </x:c>
      <x:c r="B41" s="43"/>
      <x:c r="C41" s="43"/>
      <x:c r="D41" s="43"/>
      <x:c r="E41" s="102" t="n">
        <x:f>IF($K$40=0,0,E40/$K$40)</x:f>
        <x:v>0.36363636363636365</x:v>
      </x:c>
      <x:c r="F41" s="102" t="n">
        <x:f>IF($K$40=0,0,F40/$K$40)</x:f>
        <x:v>0.45454545454545453</x:v>
      </x:c>
      <x:c r="G41" s="102" t="n">
        <x:f>IF($K$40=0,0,G40/$K$40)</x:f>
        <x:v>0</x:v>
      </x:c>
      <x:c r="H41" s="102" t="n">
        <x:f>IF($K$40=0,0,H40/$K$40)</x:f>
        <x:v>0</x:v>
      </x:c>
      <x:c r="I41" s="102" t="n">
        <x:f>IF($K$40=0,0,I40/$K$40)</x:f>
        <x:v>0</x:v>
      </x:c>
      <x:c r="J41" s="102" t="n">
        <x:f>IF($K$40=0,0,J40/$K$40)</x:f>
        <x:v>0.18181818181818182</x:v>
      </x:c>
      <x:c r="K41" s="103" t="n">
        <x:f>IF($K$40=0,0,K40/$K$40)</x:f>
        <x:v>1</x:v>
      </x:c>
      <x:c r="L41" s="82"/>
    </x:row>
    <x:row r="42">
      <x:c r="A42" s="43" t="str">
        <x:v>서부</x:v>
      </x:c>
      <x:c r="B42" s="43" t="str">
        <x:v>안산프로젝트팀부크(현대건설)</x:v>
      </x:c>
      <x:c r="C42" s="43" t="str">
        <x:v>주식회사 한불타워</x:v>
      </x:c>
      <x:c r="D42" s="43"/>
      <x:c r="E42" s="542" t="n">
        <x:v>1</x:v>
      </x:c>
      <x:c r="F42" s="542" t="n">
        <x:v>1</x:v>
      </x:c>
      <x:c r="G42" s="542" t="n">
        <x:v>0</x:v>
      </x:c>
      <x:c r="H42" s="542" t="n">
        <x:v>0</x:v>
      </x:c>
      <x:c r="I42" s="542" t="n">
        <x:v>0</x:v>
      </x:c>
      <x:c r="J42" s="542" t="n">
        <x:v>0</x:v>
      </x:c>
      <x:c r="K42" s="543" t="n">
        <x:v>2</x:v>
      </x:c>
      <x:c r="L42" s="82"/>
    </x:row>
    <x:row r="43">
      <x:c r="A43" s="38" t="str">
        <x:v>서부</x:v>
      </x:c>
      <x:c r="B43" s="38" t="str">
        <x:v>안산글로벌클라우드(삼성물산)</x:v>
      </x:c>
      <x:c r="C43" s="38" t="str">
        <x:v>정호개발주식회사</x:v>
      </x:c>
      <x:c r="D43" s="38"/>
      <x:c r="E43" s="540" t="n">
        <x:v>1</x:v>
      </x:c>
      <x:c r="F43" s="540" t="n">
        <x:v>1</x:v>
      </x:c>
      <x:c r="G43" s="540" t="n">
        <x:v>0</x:v>
      </x:c>
      <x:c r="H43" s="540" t="n">
        <x:v>0</x:v>
      </x:c>
      <x:c r="I43" s="540" t="n">
        <x:v>0</x:v>
      </x:c>
      <x:c r="J43" s="540" t="n">
        <x:v>0</x:v>
      </x:c>
      <x:c r="K43" s="540" t="n">
        <x:v>2</x:v>
      </x:c>
      <x:c r="L43" s="38"/>
    </x:row>
    <x:row r="44" s="14" customFormat="1">
      <x:c r="A44" s="38" t="str">
        <x:v>서부</x:v>
      </x:c>
      <x:c r="B44" s="38" t="str">
        <x:v>하중지구 한신공영</x:v>
      </x:c>
      <x:c r="C44" s="38" t="str">
        <x:v>(주)신화중공업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2</x:v>
      </x:c>
      <x:c r="J44" s="540" t="n">
        <x:v>0</x:v>
      </x:c>
      <x:c r="K44" s="540" t="n">
        <x:v>4</x:v>
      </x:c>
      <x:c r="L44" s="38"/>
    </x:row>
    <x:row r="45" s="14" customFormat="1" ht="17.25">
      <x:c r="A45" s="83" t="str">
        <x:v>서부</x:v>
      </x:c>
      <x:c r="B45" s="84" t="str">
        <x:v>하중지구 양우건설</x:v>
      </x:c>
      <x:c r="C45" s="84" t="str">
        <x:v>(주)진성타워</x:v>
      </x:c>
      <x:c r="D45" s="84"/>
      <x:c r="E45" s="545" t="n">
        <x:v>0</x:v>
      </x:c>
      <x:c r="F45" s="545" t="n">
        <x:v>2</x:v>
      </x:c>
      <x:c r="G45" s="545" t="n">
        <x:v>0</x:v>
      </x:c>
      <x:c r="H45" s="545" t="n">
        <x:v>0</x:v>
      </x:c>
      <x:c r="I45" s="545" t="n">
        <x:v>1</x:v>
      </x:c>
      <x:c r="J45" s="545" t="n">
        <x:v>0</x:v>
      </x:c>
      <x:c r="K45" s="545" t="n">
        <x:v>3</x:v>
      </x:c>
      <x:c r="L45" s="84"/>
    </x:row>
    <x:row r="46" ht="17.25">
      <x:c r="A46" s="43" t="str">
        <x:v>서부</x:v>
      </x:c>
      <x:c r="B46" s="38" t="str">
        <x:v>시흥거모지구 S-2BL,B-2BL(대방산업개발)</x:v>
      </x:c>
      <x:c r="C46" s="38" t="str">
        <x:v>주식회사 우정타워</x:v>
      </x:c>
      <x:c r="D46" s="38"/>
      <x:c r="E46" s="552" t="n">
        <x:v>1</x:v>
      </x:c>
      <x:c r="F46" s="552" t="n">
        <x:v>2</x:v>
      </x:c>
      <x:c r="G46" s="552" t="n">
        <x:v>0</x:v>
      </x:c>
      <x:c r="H46" s="552" t="n">
        <x:v>0</x:v>
      </x:c>
      <x:c r="I46" s="552" t="n">
        <x:v>2</x:v>
      </x:c>
      <x:c r="J46" s="552" t="n">
        <x:v>0</x:v>
      </x:c>
      <x:c r="K46" s="553" t="n">
        <x:v>5</x:v>
      </x:c>
      <x:c r="L46" s="38"/>
    </x:row>
    <x:row r="47">
      <x:c r="A47" s="108" t="str">
        <x:v>서부</x:v>
      </x:c>
      <x:c r="B47" s="108" t="str">
        <x:v>배곧서울대학교병원</x:v>
      </x:c>
      <x:c r="C47" s="108" t="str">
        <x:v>(주)타워링</x:v>
      </x:c>
      <x:c r="D47" s="108"/>
      <x:c r="E47" s="545" t="n">
        <x:v>1</x:v>
      </x:c>
      <x:c r="F47" s="545" t="n">
        <x:v>1</x:v>
      </x:c>
      <x:c r="G47" s="545" t="n">
        <x:v>0</x:v>
      </x:c>
      <x:c r="H47" s="545" t="n">
        <x:v>0</x:v>
      </x:c>
      <x:c r="I47" s="545" t="n">
        <x:v>0</x:v>
      </x:c>
      <x:c r="J47" s="545" t="n">
        <x:v>0</x:v>
      </x:c>
      <x:c r="K47" s="554" t="n">
        <x:v>2</x:v>
      </x:c>
      <x:c r="L47" s="111"/>
    </x:row>
    <x:row r="48" s="14" customFormat="1" ht="17.25">
      <x:c r="A48" s="115" t="str">
        <x:v>서부</x:v>
      </x:c>
      <x:c r="B48" s="115" t="str">
        <x:v>시흥하중 A-1BL 공동주택 건설공사</x:v>
      </x:c>
      <x:c r="C48" s="115" t="str">
        <x:v>(주)규람타워렌탈</x:v>
      </x:c>
      <x:c r="D48" s="121"/>
      <x:c r="E48" s="537" t="n">
        <x:v>1</x:v>
      </x:c>
      <x:c r="F48" s="537" t="n">
        <x:v>1</x:v>
      </x:c>
      <x:c r="G48" s="537" t="n">
        <x:v>0</x:v>
      </x:c>
      <x:c r="H48" s="537" t="n">
        <x:v>0</x:v>
      </x:c>
      <x:c r="I48" s="537" t="n">
        <x:v>0</x:v>
      </x:c>
      <x:c r="J48" s="537" t="n">
        <x:v>2</x:v>
      </x:c>
      <x:c r="K48" s="548" t="n">
        <x:v>4</x:v>
      </x:c>
      <x:c r="L48" s="118"/>
    </x:row>
    <x:row r="49">
      <x:c r="A49" s="151" t="str">
        <x:v>서부</x:v>
      </x:c>
      <x:c r="B49" s="151" t="str">
        <x:v>시흥시 거모지구 B-1블록 공동주택 신축공사</x:v>
      </x:c>
      <x:c r="C49" s="151" t="str">
        <x:v>주식회사 필웍스</x:v>
      </x:c>
      <x:c r="D49" s="155"/>
      <x:c r="E49" s="551" t="n">
        <x:v>1</x:v>
      </x:c>
      <x:c r="F49" s="551" t="n">
        <x:v>2</x:v>
      </x:c>
      <x:c r="G49" s="551" t="n">
        <x:v>1</x:v>
      </x:c>
      <x:c r="H49" s="551" t="n">
        <x:v>0</x:v>
      </x:c>
      <x:c r="I49" s="551" t="n">
        <x:v>0</x:v>
      </x:c>
      <x:c r="J49" s="551" t="n">
        <x:v>0</x:v>
      </x:c>
      <x:c r="K49" s="539" t="n">
        <x:v>4</x:v>
      </x:c>
      <x:c r="L49" s="119"/>
    </x:row>
    <x:row r="50" ht="29.25">
      <x:c r="A50" s="154" t="str">
        <x:v>서부</x:v>
      </x:c>
      <x:c r="B50" s="154" t="str">
        <x:v>시흥거모 B-6BL 모아엘가&amp;대광로제비앙 공동주택 신축공사</x:v>
      </x:c>
      <x:c r="C50" s="154" t="str">
        <x:v>(주)금강건기</x:v>
      </x:c>
      <x:c r="D50" s="156"/>
      <x:c r="E50" s="555" t="n">
        <x:v>1</x:v>
      </x:c>
      <x:c r="F50" s="555" t="n">
        <x:v>2</x:v>
      </x:c>
      <x:c r="G50" s="555" t="n">
        <x:v>0</x:v>
      </x:c>
      <x:c r="H50" s="555" t="n">
        <x:v>0</x:v>
      </x:c>
      <x:c r="I50" s="555" t="n">
        <x:v>1</x:v>
      </x:c>
      <x:c r="J50" s="555" t="n">
        <x:v>0</x:v>
      </x:c>
      <x:c r="K50" s="543" t="n">
        <x:v>4</x:v>
      </x:c>
      <x:c r="L50" s="82"/>
    </x:row>
    <x:row r="51">
      <x:c r="A51" s="43" t="str">
        <x:v>서부</x:v>
      </x:c>
      <x:c r="B51" s="43" t="str">
        <x:v>시화MTV 지하주차장</x:v>
      </x:c>
      <x:c r="C51" s="43" t="str">
        <x:v>(주)우리기계산업</x:v>
      </x:c>
      <x:c r="D51" s="43"/>
      <x:c r="E51" s="542" t="n">
        <x:v>1</x:v>
      </x:c>
      <x:c r="F51" s="542" t="n">
        <x:v>1</x:v>
      </x:c>
      <x:c r="G51" s="542" t="n">
        <x:v>0</x:v>
      </x:c>
      <x:c r="H51" s="542" t="n">
        <x:v>1</x:v>
      </x:c>
      <x:c r="I51" s="542" t="n">
        <x:v>0</x:v>
      </x:c>
      <x:c r="J51" s="542" t="n">
        <x:v>0</x:v>
      </x:c>
      <x:c r="K51" s="543" t="n">
        <x:f>SUM(E51:J51)</x:f>
        <x:v>3</x:v>
      </x:c>
      <x:c r="L51" s="82" t="str">
        <x:v>원청사: 강산건설(주)</x:v>
      </x:c>
    </x:row>
    <x:row r="52">
      <x:c r="A52" s="43" t="str">
        <x:v>서부지부 소계</x:v>
      </x:c>
      <x:c r="B52" s="43"/>
      <x:c r="C52" s="43"/>
      <x:c r="D52" s="43"/>
      <x:c r="E52" s="542" t="n">
        <x:f>SUM(E42:E51)</x:f>
        <x:v>9</x:v>
      </x:c>
      <x:c r="F52" s="542" t="n">
        <x:f>SUM(F42:F51)</x:f>
        <x:v>14</x:v>
      </x:c>
      <x:c r="G52" s="542" t="n">
        <x:f>SUM(G42:G51)</x:f>
        <x:v>1</x:v>
      </x:c>
      <x:c r="H52" s="542" t="n">
        <x:f>SUM(H42:H51)</x:f>
        <x:v>1</x:v>
      </x:c>
      <x:c r="I52" s="542" t="n">
        <x:f>SUM(I42:I51)</x:f>
        <x:v>6</x:v>
      </x:c>
      <x:c r="J52" s="542" t="n">
        <x:f>SUM(J42:J51)</x:f>
        <x:v>2</x:v>
      </x:c>
      <x:c r="K52" s="543" t="n">
        <x:f>SUM(K42:K51)</x:f>
        <x:v>33</x:v>
      </x:c>
      <x:c r="L52" s="82"/>
    </x:row>
    <x:row r="53">
      <x:c r="A53" s="43" t="str">
        <x:v>소계퍼센테이지</x:v>
      </x:c>
      <x:c r="B53" s="43"/>
      <x:c r="C53" s="43"/>
      <x:c r="D53" s="43"/>
      <x:c r="E53" s="102" t="n">
        <x:f>IF($K$52=0,0,E52/$K$52)</x:f>
        <x:v>0.2727272727272727</x:v>
      </x:c>
      <x:c r="F53" s="102" t="n">
        <x:f>IF($K$52=0,0,F52/$K$52)</x:f>
        <x:v>0.42424242424242425</x:v>
      </x:c>
      <x:c r="G53" s="102" t="n">
        <x:f>IF($K$52=0,0,G52/$K$52)</x:f>
        <x:v>0.030303030303030304</x:v>
      </x:c>
      <x:c r="H53" s="102" t="n">
        <x:f>IF($K$52=0,0,H52/$K$52)</x:f>
        <x:v>0.030303030303030304</x:v>
      </x:c>
      <x:c r="I53" s="102" t="n">
        <x:f>IF($K$52=0,0,I52/$K$52)</x:f>
        <x:v>0.18181818181818182</x:v>
      </x:c>
      <x:c r="J53" s="102" t="n">
        <x:f>IF($K$52=0,0,J52/$K$52)</x:f>
        <x:v>0.06060606060606061</x:v>
      </x:c>
      <x:c r="K53" s="103" t="n">
        <x:f>IF($K$52=0,0,K52/$K$52)</x:f>
        <x:v>1</x:v>
      </x:c>
      <x:c r="L53" s="82"/>
    </x:row>
    <x:row r="54">
      <x:c r="A54" s="43" t="str">
        <x:v>북서</x:v>
      </x:c>
      <x:c r="B54" s="43" t="str">
        <x:v>군포시 SGC건설</x:v>
      </x:c>
      <x:c r="C54" s="43" t="str">
        <x:v>(주)한백산업</x:v>
      </x:c>
      <x:c r="D54" s="43"/>
      <x:c r="E54" s="542" t="n">
        <x:v>2</x:v>
      </x:c>
      <x:c r="F54" s="542" t="n">
        <x:v>3</x:v>
      </x:c>
      <x:c r="G54" s="542" t="n">
        <x:v>1</x:v>
      </x:c>
      <x:c r="H54" s="542" t="n">
        <x:v>0</x:v>
      </x:c>
      <x:c r="I54" s="542" t="n">
        <x:v>1</x:v>
      </x:c>
      <x:c r="J54" s="542" t="n">
        <x:v>0</x:v>
      </x:c>
      <x:c r="K54" s="543" t="n">
        <x:v>7</x:v>
      </x:c>
      <x:c r="L54" s="82"/>
    </x:row>
    <x:row r="55" s="14" customFormat="1" ht="17.25">
      <x:c r="A55" s="43" t="str">
        <x:v>북서</x:v>
      </x:c>
      <x:c r="B55" s="43" t="str">
        <x:v>관양동 DL이앤씨</x:v>
      </x:c>
      <x:c r="C55" s="43" t="str">
        <x:v>(주)한백산업</x:v>
      </x:c>
      <x:c r="D55" s="43"/>
      <x:c r="E55" s="542" t="n">
        <x:v>2</x:v>
      </x:c>
      <x:c r="F55" s="542" t="n">
        <x:v>3</x:v>
      </x:c>
      <x:c r="G55" s="542" t="n">
        <x:v>0</x:v>
      </x:c>
      <x:c r="H55" s="542" t="n">
        <x:v>0</x:v>
      </x:c>
      <x:c r="I55" s="542" t="n">
        <x:v>1</x:v>
      </x:c>
      <x:c r="J55" s="542" t="n">
        <x:v>0</x:v>
      </x:c>
      <x:c r="K55" s="543" t="n">
        <x:v>6</x:v>
      </x:c>
      <x:c r="L55" s="38"/>
    </x:row>
    <x:row r="56" s="14" customFormat="1">
      <x:c r="A56" s="89" t="str">
        <x:v>북서</x:v>
      </x:c>
      <x:c r="B56" s="89" t="str">
        <x:v>관양동 DL이앤씨</x:v>
      </x:c>
      <x:c r="C56" s="89" t="str">
        <x:v>벽산중기산업주식회사</x:v>
      </x:c>
      <x:c r="D56" s="70"/>
      <x:c r="E56" s="556" t="n">
        <x:v>1</x:v>
      </x:c>
      <x:c r="F56" s="556" t="n">
        <x:v>1</x:v>
      </x:c>
      <x:c r="G56" s="556" t="n">
        <x:v>0</x:v>
      </x:c>
      <x:c r="H56" s="556" t="n">
        <x:v>0</x:v>
      </x:c>
      <x:c r="I56" s="556" t="n">
        <x:v>0</x:v>
      </x:c>
      <x:c r="J56" s="556" t="n">
        <x:v>0</x:v>
      </x:c>
      <x:c r="K56" s="556" t="n">
        <x:v>2</x:v>
      </x:c>
      <x:c r="L56" s="70"/>
    </x:row>
    <x:row r="57" s="14" customFormat="1" ht="17.25">
      <x:c r="A57" s="83" t="str">
        <x:v>북서</x:v>
      </x:c>
      <x:c r="B57" s="84" t="str">
        <x:v>의왕청계 시티건설</x:v>
      </x:c>
      <x:c r="C57" s="84" t="str">
        <x:v>주식회사 우정타워</x:v>
      </x:c>
      <x:c r="D57" s="84"/>
      <x:c r="E57" s="545" t="n">
        <x:v>1</x:v>
      </x:c>
      <x:c r="F57" s="545" t="n">
        <x:v>1</x:v>
      </x:c>
      <x:c r="G57" s="545" t="n">
        <x:v>0</x:v>
      </x:c>
      <x:c r="H57" s="545" t="n">
        <x:v>0</x:v>
      </x:c>
      <x:c r="I57" s="545" t="n">
        <x:v>0</x:v>
      </x:c>
      <x:c r="J57" s="545" t="n">
        <x:v>0</x:v>
      </x:c>
      <x:c r="K57" s="545" t="n">
        <x:v>2</x:v>
      </x:c>
      <x:c r="L57" s="84"/>
    </x:row>
    <x:row r="58" ht="17.25">
      <x:c r="A58" s="43" t="str">
        <x:v>북서</x:v>
      </x:c>
      <x:c r="B58" s="38" t="str">
        <x:v>과천 태왕</x:v>
      </x:c>
      <x:c r="C58" s="38" t="str">
        <x:v>주식회사 비엠케이</x:v>
      </x:c>
      <x:c r="D58" s="38"/>
      <x:c r="E58" s="552" t="n">
        <x:v>1</x:v>
      </x:c>
      <x:c r="F58" s="552" t="n">
        <x:v>2</x:v>
      </x:c>
      <x:c r="G58" s="552" t="n">
        <x:v>1</x:v>
      </x:c>
      <x:c r="H58" s="552" t="n">
        <x:v>1</x:v>
      </x:c>
      <x:c r="I58" s="552" t="n">
        <x:v>1</x:v>
      </x:c>
      <x:c r="J58" s="552" t="n">
        <x:v>0</x:v>
      </x:c>
      <x:c r="K58" s="553" t="n">
        <x:v>6</x:v>
      </x:c>
      <x:c r="L58" s="38"/>
    </x:row>
    <x:row r="59" s="14" customFormat="1" ht="17.25">
      <x:c r="A59" s="108" t="str">
        <x:v>북서</x:v>
      </x:c>
      <x:c r="B59" s="108" t="str">
        <x:v>과천 주암동 디에이치 아델스타(현대건설)</x:v>
      </x:c>
      <x:c r="C59" s="108" t="str">
        <x:v>(주)국영타워랜드</x:v>
      </x:c>
      <x:c r="D59" s="108"/>
      <x:c r="E59" s="545" t="n">
        <x:v>1</x:v>
      </x:c>
      <x:c r="F59" s="545" t="n">
        <x:v>3</x:v>
      </x:c>
      <x:c r="G59" s="545" t="n">
        <x:v>0</x:v>
      </x:c>
      <x:c r="H59" s="545" t="n">
        <x:v>0</x:v>
      </x:c>
      <x:c r="I59" s="545" t="n">
        <x:v>1</x:v>
      </x:c>
      <x:c r="J59" s="545" t="n">
        <x:v>0</x:v>
      </x:c>
      <x:c r="K59" s="554" t="n">
        <x:v>5</x:v>
      </x:c>
      <x:c r="L59" s="111"/>
    </x:row>
    <x:row r="60" s="14" customFormat="1" ht="17.25">
      <x:c r="A60" s="115" t="str">
        <x:v>북서</x:v>
      </x:c>
      <x:c r="B60" s="115" t="str">
        <x:v>안양 샘병원</x:v>
      </x:c>
      <x:c r="C60" s="115" t="str">
        <x:v>주식회사 가람타워</x:v>
      </x:c>
      <x:c r="D60" s="115"/>
      <x:c r="E60" s="537" t="n">
        <x:v>1</x:v>
      </x:c>
      <x:c r="F60" s="537" t="n">
        <x:v>0</x:v>
      </x:c>
      <x:c r="G60" s="537" t="n">
        <x:v>0</x:v>
      </x:c>
      <x:c r="H60" s="537" t="n">
        <x:v>0</x:v>
      </x:c>
      <x:c r="I60" s="537" t="n">
        <x:v>0</x:v>
      </x:c>
      <x:c r="J60" s="537" t="n">
        <x:v>0</x:v>
      </x:c>
      <x:c r="K60" s="548" t="n">
        <x:v>1</x:v>
      </x:c>
      <x:c r="L60" s="118"/>
    </x:row>
    <x:row r="61" s="14" customFormat="1" ht="17.25">
      <x:c r="A61" s="151" t="str">
        <x:v>북서</x:v>
      </x:c>
      <x:c r="B61" s="151" t="str">
        <x:v>안양 박달동 신안아파트 재건축(현대산업개발)</x:v>
      </x:c>
      <x:c r="C61" s="151" t="str">
        <x:v>주식회사 비엠케이</x:v>
      </x:c>
      <x:c r="D61" s="151"/>
      <x:c r="E61" s="551" t="n">
        <x:v>1</x:v>
      </x:c>
      <x:c r="F61" s="551" t="n">
        <x:v>2</x:v>
      </x:c>
      <x:c r="G61" s="551" t="n">
        <x:v>0</x:v>
      </x:c>
      <x:c r="H61" s="551" t="n">
        <x:v>0</x:v>
      </x:c>
      <x:c r="I61" s="551" t="n">
        <x:v>1</x:v>
      </x:c>
      <x:c r="J61" s="551" t="n">
        <x:v>0</x:v>
      </x:c>
      <x:c r="K61" s="539" t="n">
        <x:v>4</x:v>
      </x:c>
      <x:c r="L61" s="119"/>
    </x:row>
    <x:row r="62">
      <x:c r="A62" s="157" t="str">
        <x:v>북서</x:v>
      </x:c>
      <x:c r="B62" s="157" t="str">
        <x:v>안양역세권지구 재개발정비사업(현대산업개발)</x:v>
      </x:c>
      <x:c r="C62" s="157" t="str">
        <x:v>오투기계산업(주)</x:v>
      </x:c>
      <x:c r="D62" s="156"/>
      <x:c r="E62" s="555" t="n">
        <x:v>1</x:v>
      </x:c>
      <x:c r="F62" s="555" t="n">
        <x:v>2</x:v>
      </x:c>
      <x:c r="G62" s="555" t="n">
        <x:v>0</x:v>
      </x:c>
      <x:c r="H62" s="555" t="n">
        <x:v>0</x:v>
      </x:c>
      <x:c r="I62" s="555" t="n">
        <x:v>1</x:v>
      </x:c>
      <x:c r="J62" s="555" t="n">
        <x:v>0</x:v>
      </x:c>
      <x:c r="K62" s="543" t="n">
        <x:v>4</x:v>
      </x:c>
      <x:c r="L62" s="87"/>
    </x:row>
    <x:row r="63">
      <x:c r="A63" s="43" t="str">
        <x:v>북서</x:v>
      </x:c>
      <x:c r="B63" s="43" t="str">
        <x:v>관양동 오피스텔 신축공사</x:v>
      </x:c>
      <x:c r="C63" s="43" t="str">
        <x:v>(주)유건설 (단종계약)</x:v>
      </x:c>
      <x:c r="D63" s="88"/>
      <x:c r="E63" s="542" t="n">
        <x:v>1</x:v>
      </x:c>
      <x:c r="F63" s="542" t="n">
        <x:v>0</x:v>
      </x:c>
      <x:c r="G63" s="542" t="n">
        <x:v>0</x:v>
      </x:c>
      <x:c r="H63" s="542" t="n">
        <x:v>0</x:v>
      </x:c>
      <x:c r="I63" s="542" t="n">
        <x:v>0</x:v>
      </x:c>
      <x:c r="J63" s="542" t="n">
        <x:v>0</x:v>
      </x:c>
      <x:c r="K63" s="543" t="n">
        <x:f>SUM(E63:J63)</x:f>
        <x:v>1</x:v>
      </x:c>
      <x:c r="L63" s="82"/>
    </x:row>
    <x:row r="64">
      <x:c r="A64" s="43" t="str">
        <x:v>북서지부 소계</x:v>
      </x:c>
      <x:c r="B64" s="43"/>
      <x:c r="C64" s="43"/>
      <x:c r="D64" s="43"/>
      <x:c r="E64" s="542" t="n">
        <x:f>SUM(E54:E63)</x:f>
        <x:v>12</x:v>
      </x:c>
      <x:c r="F64" s="542" t="n">
        <x:f>SUM(F54:F63)</x:f>
        <x:v>17</x:v>
      </x:c>
      <x:c r="G64" s="542" t="n">
        <x:f>SUM(G54:G63)</x:f>
        <x:v>2</x:v>
      </x:c>
      <x:c r="H64" s="542" t="n">
        <x:f>SUM(H54:H63)</x:f>
        <x:v>1</x:v>
      </x:c>
      <x:c r="I64" s="542" t="n">
        <x:f>SUM(I54:I63)</x:f>
        <x:v>6</x:v>
      </x:c>
      <x:c r="J64" s="542" t="n">
        <x:f>SUM(J54:J63)</x:f>
        <x:v>0</x:v>
      </x:c>
      <x:c r="K64" s="543" t="n">
        <x:f>SUM(K54:K63)</x:f>
        <x:v>38</x:v>
      </x:c>
      <x:c r="L64" s="82"/>
    </x:row>
    <x:row r="65" s="14" customFormat="1" ht="17.25">
      <x:c r="A65" s="43" t="str">
        <x:v>소계퍼센테이지</x:v>
      </x:c>
      <x:c r="B65" s="43"/>
      <x:c r="C65" s="43"/>
      <x:c r="D65" s="43"/>
      <x:c r="E65" s="102" t="n">
        <x:f>IF($K$64=0,0,E64/$K$64)</x:f>
        <x:v>0.3157894736842105</x:v>
      </x:c>
      <x:c r="F65" s="102" t="n">
        <x:f>IF($K$64=0,0,F64/$K$64)</x:f>
        <x:v>0.4473684210526316</x:v>
      </x:c>
      <x:c r="G65" s="102" t="n">
        <x:f>IF($K$64=0,0,G64/$K$64)</x:f>
        <x:v>0.05263157894736842</x:v>
      </x:c>
      <x:c r="H65" s="102" t="n">
        <x:f>IF($K$64=0,0,H64/$K$64)</x:f>
        <x:v>0.02631578947368421</x:v>
      </x:c>
      <x:c r="I65" s="102" t="n">
        <x:f>IF($K$64=0,0,I64/$K$64)</x:f>
        <x:v>0.15789473684210525</x:v>
      </x:c>
      <x:c r="J65" s="102" t="n">
        <x:f>IF($K$64=0,0,J64/$K$64)</x:f>
        <x:v>0</x:v>
      </x:c>
      <x:c r="K65" s="103" t="n">
        <x:f>IF($K$64=0,0,K64/$K$64)</x:f>
        <x:v>1</x:v>
      </x:c>
      <x:c r="L65" s="38"/>
    </x:row>
    <x:row r="66" s="14" customFormat="1" ht="17.25">
      <x:c r="A66" s="43" t="str">
        <x:v>용인</x:v>
      </x:c>
      <x:c r="B66" s="43" t="str">
        <x:v>양지 대우 원클러스터</x:v>
      </x:c>
      <x:c r="C66" s="43" t="str">
        <x:v>(주)규람타워렌탈</x:v>
      </x:c>
      <x:c r="D66" s="43"/>
      <x:c r="E66" s="542" t="n">
        <x:v>1</x:v>
      </x:c>
      <x:c r="F66" s="542" t="n">
        <x:v>2</x:v>
      </x:c>
      <x:c r="G66" s="542" t="n">
        <x:v>0</x:v>
      </x:c>
      <x:c r="H66" s="542" t="n">
        <x:v>0</x:v>
      </x:c>
      <x:c r="I66" s="542" t="n">
        <x:v>1</x:v>
      </x:c>
      <x:c r="J66" s="542" t="n">
        <x:v>0</x:v>
      </x:c>
      <x:c r="K66" s="543" t="n">
        <x:v>4</x:v>
      </x:c>
      <x:c r="L66" s="38"/>
    </x:row>
    <x:row r="67" s="14" customFormat="1" ht="17.25">
      <x:c r="A67" s="43" t="str">
        <x:v>용인</x:v>
      </x:c>
      <x:c r="B67" s="43" t="str">
        <x:v>양지 SM경남 아너스빌</x:v>
      </x:c>
      <x:c r="C67" s="43" t="str">
        <x:v>주식회사 비엠케이</x:v>
      </x:c>
      <x:c r="D67" s="43"/>
      <x:c r="E67" s="542" t="n">
        <x:v>2</x:v>
      </x:c>
      <x:c r="F67" s="542" t="n">
        <x:v>1</x:v>
      </x:c>
      <x:c r="G67" s="542" t="n">
        <x:v>0</x:v>
      </x:c>
      <x:c r="H67" s="542" t="n">
        <x:v>1</x:v>
      </x:c>
      <x:c r="I67" s="542" t="n">
        <x:v>0</x:v>
      </x:c>
      <x:c r="J67" s="542" t="n">
        <x:v>0</x:v>
      </x:c>
      <x:c r="K67" s="543" t="n">
        <x:v>4</x:v>
      </x:c>
      <x:c r="L67" s="38"/>
    </x:row>
    <x:row r="68" s="14" customFormat="1">
      <x:c r="A68" s="38" t="str">
        <x:v>용인</x:v>
      </x:c>
      <x:c r="B68" s="38" t="str">
        <x:v>역북 푸르지오 클루센트(대우건설)</x:v>
      </x:c>
      <x:c r="C68" s="38" t="str">
        <x:v>벽산중기산업주식회사</x:v>
      </x:c>
      <x:c r="D68" s="38"/>
      <x:c r="E68" s="540" t="n">
        <x:v>1</x:v>
      </x:c>
      <x:c r="F68" s="540" t="n">
        <x:v>2</x:v>
      </x:c>
      <x:c r="G68" s="540" t="n">
        <x:v>0</x:v>
      </x:c>
      <x:c r="H68" s="540" t="n">
        <x:v>0</x:v>
      </x:c>
      <x:c r="I68" s="540" t="n">
        <x:v>1</x:v>
      </x:c>
      <x:c r="J68" s="540" t="n">
        <x:v>0</x:v>
      </x:c>
      <x:c r="K68" s="540" t="n">
        <x:v>4</x:v>
      </x:c>
      <x:c r="L68" s="38"/>
    </x:row>
    <x:row r="69" s="14" customFormat="1">
      <x:c r="A69" s="90" t="str">
        <x:v>용인</x:v>
      </x:c>
      <x:c r="B69" s="90" t="str">
        <x:v>고림 대광로제비앙</x:v>
      </x:c>
      <x:c r="C69" s="90" t="str">
        <x:v>주식회사 현성건설</x:v>
      </x:c>
      <x:c r="D69" s="90" t="str">
        <x:v>현성</x:v>
      </x:c>
      <x:c r="E69" s="557" t="n">
        <x:v>0</x:v>
      </x:c>
      <x:c r="F69" s="557" t="n">
        <x:v>3</x:v>
      </x:c>
      <x:c r="G69" s="557" t="n">
        <x:v>0</x:v>
      </x:c>
      <x:c r="H69" s="557" t="n">
        <x:v>1</x:v>
      </x:c>
      <x:c r="I69" s="557" t="n">
        <x:v>1</x:v>
      </x:c>
      <x:c r="J69" s="557" t="n">
        <x:v>0</x:v>
      </x:c>
      <x:c r="K69" s="557" t="n">
        <x:v>0</x:v>
      </x:c>
      <x:c r="L69" s="90" t="str">
        <x:v>통계제외</x:v>
      </x:c>
    </x:row>
    <x:row r="70" s="14" customFormat="1" ht="17.25">
      <x:c r="A70" s="69" t="str">
        <x:v>용인</x:v>
      </x:c>
      <x:c r="B70" s="69" t="str">
        <x:v>백암 오뚜기물류센타</x:v>
      </x:c>
      <x:c r="C70" s="69" t="str">
        <x:v>주식회사 가람타워</x:v>
      </x:c>
      <x:c r="D70" s="69"/>
      <x:c r="E70" s="534" t="n">
        <x:v>0</x:v>
      </x:c>
      <x:c r="F70" s="534" t="n">
        <x:v>1</x:v>
      </x:c>
      <x:c r="G70" s="534" t="n">
        <x:v>0</x:v>
      </x:c>
      <x:c r="H70" s="534" t="n">
        <x:v>1</x:v>
      </x:c>
      <x:c r="I70" s="534" t="n">
        <x:v>0</x:v>
      </x:c>
      <x:c r="J70" s="534" t="n">
        <x:v>0</x:v>
      </x:c>
      <x:c r="K70" s="534" t="n">
        <x:v>2</x:v>
      </x:c>
      <x:c r="L70" s="69"/>
    </x:row>
    <x:row r="71" s="14" customFormat="1" ht="17.25">
      <x:c r="A71" s="91" t="str">
        <x:v>용인</x:v>
      </x:c>
      <x:c r="B71" s="91" t="str">
        <x:v>마평동 여성복지회관</x:v>
      </x:c>
      <x:c r="C71" s="91" t="str">
        <x:v>(주)무기타워렌탈</x:v>
      </x:c>
      <x:c r="D71" s="91"/>
      <x:c r="E71" s="544" t="n">
        <x:v>0</x:v>
      </x:c>
      <x:c r="F71" s="544" t="n">
        <x:v>1</x:v>
      </x:c>
      <x:c r="G71" s="544" t="n">
        <x:v>0</x:v>
      </x:c>
      <x:c r="H71" s="544" t="n">
        <x:v>0</x:v>
      </x:c>
      <x:c r="I71" s="544" t="n">
        <x:v>0</x:v>
      </x:c>
      <x:c r="J71" s="544" t="n">
        <x:v>0</x:v>
      </x:c>
      <x:c r="K71" s="544" t="n">
        <x:v>1</x:v>
      </x:c>
      <x:c r="L71" s="92"/>
    </x:row>
    <x:row r="72">
      <x:c r="A72" s="93" t="str">
        <x:v>용인</x:v>
      </x:c>
      <x:c r="B72" s="93" t="str">
        <x:v>용인 라온프라이빗</x:v>
      </x:c>
      <x:c r="C72" s="93" t="str">
        <x:v>(주)우성건설기계</x:v>
      </x:c>
      <x:c r="D72" s="93"/>
      <x:c r="E72" s="558" t="n">
        <x:v>2</x:v>
      </x:c>
      <x:c r="F72" s="558" t="n">
        <x:v>1</x:v>
      </x:c>
      <x:c r="G72" s="558" t="n">
        <x:v>0</x:v>
      </x:c>
      <x:c r="H72" s="558" t="n">
        <x:v>0</x:v>
      </x:c>
      <x:c r="I72" s="558" t="n">
        <x:v>0</x:v>
      </x:c>
      <x:c r="J72" s="558" t="n">
        <x:v>0</x:v>
      </x:c>
      <x:c r="K72" s="558" t="n">
        <x:v>3</x:v>
      </x:c>
      <x:c r="L72" s="94"/>
    </x:row>
    <x:row r="73">
      <x:c r="A73" s="112" t="str">
        <x:v>용인</x:v>
      </x:c>
      <x:c r="B73" s="112" t="str">
        <x:v>용인덕성 AI데이터센터 신축공사</x:v>
      </x:c>
      <x:c r="C73" s="112" t="str">
        <x:v>(주)타워랜드</x:v>
      </x:c>
      <x:c r="D73" s="112"/>
      <x:c r="E73" s="559" t="n">
        <x:v>1</x:v>
      </x:c>
      <x:c r="F73" s="559" t="n">
        <x:v>2</x:v>
      </x:c>
      <x:c r="G73" s="559" t="n">
        <x:v>1</x:v>
      </x:c>
      <x:c r="H73" s="559" t="n">
        <x:v>0</x:v>
      </x:c>
      <x:c r="I73" s="559" t="n">
        <x:v>0</x:v>
      </x:c>
      <x:c r="J73" s="559" t="n">
        <x:v>0</x:v>
      </x:c>
      <x:c r="K73" s="559" t="n">
        <x:v>4</x:v>
      </x:c>
      <x:c r="L73" s="113"/>
    </x:row>
    <x:row r="74" s="14" customFormat="1">
      <x:c r="A74" s="122" t="str">
        <x:v>용인</x:v>
      </x:c>
      <x:c r="B74" s="122" t="str">
        <x:v>용인클러스터 상생협력시설(기숙사 1차)</x:v>
      </x:c>
      <x:c r="C74" s="122" t="str">
        <x:v>(주)규람타워렌탈</x:v>
      </x:c>
      <x:c r="D74" s="122" t="str">
        <x:v>원철규(미정3)</x:v>
      </x:c>
      <x:c r="E74" s="560" t="n">
        <x:v>1</x:v>
      </x:c>
      <x:c r="F74" s="560" t="n">
        <x:v>0</x:v>
      </x:c>
      <x:c r="G74" s="560" t="n">
        <x:v>0</x:v>
      </x:c>
      <x:c r="H74" s="560" t="n">
        <x:v>0</x:v>
      </x:c>
      <x:c r="I74" s="560" t="n">
        <x:v>1</x:v>
      </x:c>
      <x:c r="J74" s="560" t="n">
        <x:v>3</x:v>
      </x:c>
      <x:c r="K74" s="560" t="n">
        <x:v>5</x:v>
      </x:c>
      <x:c r="L74" s="123"/>
    </x:row>
    <x:row r="75" s="14" customFormat="1">
      <x:c r="A75" s="158" t="str">
        <x:v>용인</x:v>
      </x:c>
      <x:c r="B75" s="158" t="str">
        <x:v>수지자이에디시온</x:v>
      </x:c>
      <x:c r="C75" s="158" t="str">
        <x:v>(주)한진</x:v>
      </x:c>
      <x:c r="D75" s="158"/>
      <x:c r="E75" s="561" t="n">
        <x:v>1</x:v>
      </x:c>
      <x:c r="F75" s="561" t="n">
        <x:v>1</x:v>
      </x:c>
      <x:c r="G75" s="561" t="n">
        <x:v>0</x:v>
      </x:c>
      <x:c r="H75" s="561" t="n">
        <x:v>0</x:v>
      </x:c>
      <x:c r="I75" s="561" t="n">
        <x:v>1</x:v>
      </x:c>
      <x:c r="J75" s="561" t="n">
        <x:v>0</x:v>
      </x:c>
      <x:c r="K75" s="561" t="n">
        <x:v>3</x:v>
      </x:c>
      <x:c r="L75" s="124"/>
    </x:row>
    <x:row r="76" s="14" customFormat="1">
      <x:c r="A76" s="160" t="str">
        <x:v>용인</x:v>
      </x:c>
      <x:c r="B76" s="160" t="str">
        <x:v>기흥변전소</x:v>
      </x:c>
      <x:c r="C76" s="160" t="str">
        <x:v>(주)대원타워렌탈</x:v>
      </x:c>
      <x:c r="D76" s="160"/>
      <x:c r="E76" s="555" t="n">
        <x:v>0</x:v>
      </x:c>
      <x:c r="F76" s="555" t="n">
        <x:v>0</x:v>
      </x:c>
      <x:c r="G76" s="555" t="n">
        <x:v>0</x:v>
      </x:c>
      <x:c r="H76" s="555" t="n">
        <x:v>0</x:v>
      </x:c>
      <x:c r="I76" s="555" t="n">
        <x:v>1</x:v>
      </x:c>
      <x:c r="J76" s="555" t="n">
        <x:v>0</x:v>
      </x:c>
      <x:c r="K76" s="561" t="n">
        <x:v>1</x:v>
      </x:c>
      <x:c r="L76" s="90"/>
    </x:row>
    <x:row r="77">
      <x:c r="A77" s="69" t="str">
        <x:v>용인</x:v>
      </x:c>
      <x:c r="B77" s="69" t="str">
        <x:v>한양립스</x:v>
      </x:c>
      <x:c r="C77" s="69" t="str">
        <x:v>(주)제이에스글로벌산업</x:v>
      </x:c>
      <x:c r="D77" s="69"/>
      <x:c r="E77" s="534" t="n">
        <x:v>0</x:v>
      </x:c>
      <x:c r="F77" s="534" t="n">
        <x:v>0</x:v>
      </x:c>
      <x:c r="G77" s="534" t="n">
        <x:v>0</x:v>
      </x:c>
      <x:c r="H77" s="534" t="n">
        <x:v>2</x:v>
      </x:c>
      <x:c r="I77" s="534" t="n">
        <x:v>1</x:v>
      </x:c>
      <x:c r="J77" s="534" t="n">
        <x:v>0</x:v>
      </x:c>
      <x:c r="K77" s="534" t="n">
        <x:f>SUM(E77:J77)</x:f>
        <x:v>3</x:v>
      </x:c>
      <x:c r="L77" s="69"/>
    </x:row>
    <x:row r="78">
      <x:c r="A78" s="91" t="str">
        <x:v>용인</x:v>
      </x:c>
      <x:c r="B78" s="91" t="str">
        <x:v>용인클라우드</x:v>
      </x:c>
      <x:c r="C78" s="91" t="str">
        <x:v>(주)성광엔지니어링</x:v>
      </x:c>
      <x:c r="D78" s="91"/>
      <x:c r="E78" s="544" t="n">
        <x:v>1</x:v>
      </x:c>
      <x:c r="F78" s="544" t="n">
        <x:v>0</x:v>
      </x:c>
      <x:c r="G78" s="544" t="n">
        <x:v>0</x:v>
      </x:c>
      <x:c r="H78" s="544" t="n">
        <x:v>0</x:v>
      </x:c>
      <x:c r="I78" s="544" t="n">
        <x:v>0</x:v>
      </x:c>
      <x:c r="J78" s="544" t="n">
        <x:v>0</x:v>
      </x:c>
      <x:c r="K78" s="544" t="n">
        <x:f>SUM(E78:J78)</x:f>
        <x:v>1</x:v>
      </x:c>
      <x:c r="L78" s="91"/>
    </x:row>
    <x:row r="79">
      <x:c r="A79" s="93" t="str">
        <x:v>용인지부 소계</x:v>
      </x:c>
      <x:c r="B79" s="93"/>
      <x:c r="C79" s="93"/>
      <x:c r="D79" s="93"/>
      <x:c r="E79" s="558" t="n">
        <x:f>SUM(E66:E68,E70:E78)</x:f>
        <x:v>10</x:v>
      </x:c>
      <x:c r="F79" s="558" t="n">
        <x:f>SUM(F66:F68,F70:F78)</x:f>
        <x:v>11</x:v>
      </x:c>
      <x:c r="G79" s="558" t="n">
        <x:f>SUM(G66:G68,G70:G78)</x:f>
        <x:v>1</x:v>
      </x:c>
      <x:c r="H79" s="558" t="n">
        <x:f>SUM(H66:H68,H70:H78)</x:f>
        <x:v>4</x:v>
      </x:c>
      <x:c r="I79" s="558" t="n">
        <x:f>SUM(I66:I68,I70:I78)</x:f>
        <x:v>6</x:v>
      </x:c>
      <x:c r="J79" s="558" t="n">
        <x:f>SUM(J66:J68,J70:J78)</x:f>
        <x:v>3</x:v>
      </x:c>
      <x:c r="K79" s="558" t="n">
        <x:f>SUM(K66:K68,K70:K78)</x:f>
        <x:v>35</x:v>
      </x:c>
      <x:c r="L79" s="93"/>
    </x:row>
    <x:row r="80">
      <x:c r="A80" s="114" t="str">
        <x:v>소계퍼센테이지</x:v>
      </x:c>
      <x:c r="B80" s="114"/>
      <x:c r="C80" s="114"/>
      <x:c r="D80" s="114"/>
      <x:c r="E80" s="566" t="n">
        <x:f>IF($K$79=0,0,E79/$K$79)</x:f>
        <x:v>0.2857142857142857</x:v>
      </x:c>
      <x:c r="F80" s="566" t="n">
        <x:f>IF($K$79=0,0,F79/$K$79)</x:f>
        <x:v>0.3142857142857143</x:v>
      </x:c>
      <x:c r="G80" s="566" t="n">
        <x:f>IF($K$79=0,0,G79/$K$79)</x:f>
        <x:v>0.02857142857142857</x:v>
      </x:c>
      <x:c r="H80" s="566" t="n">
        <x:f>IF($K$79=0,0,H79/$K$79)</x:f>
        <x:v>0.11428571428571428</x:v>
      </x:c>
      <x:c r="I80" s="566" t="n">
        <x:f>IF($K$79=0,0,I79/$K$79)</x:f>
        <x:v>0.17142857142857143</x:v>
      </x:c>
      <x:c r="J80" s="566" t="n">
        <x:f>IF($K$79=0,0,J79/$K$79)</x:f>
        <x:v>0.08571428571428572</x:v>
      </x:c>
      <x:c r="K80" s="566" t="n">
        <x:f>IF($K$79=0,0,K79/$K$79)</x:f>
        <x:v>1</x:v>
      </x:c>
      <x:c r="L80" s="114"/>
    </x:row>
    <x:row r="81">
      <x:c r="A81" s="125" t="str">
        <x:v>중부</x:v>
      </x:c>
      <x:c r="B81" s="125" t="str">
        <x:v>당수동 한신</x:v>
      </x:c>
      <x:c r="C81" s="125" t="str">
        <x:v>주식회사월드타워</x:v>
      </x:c>
      <x:c r="D81" s="125"/>
      <x:c r="E81" s="562" t="n">
        <x:v>1</x:v>
      </x:c>
      <x:c r="F81" s="562" t="n">
        <x:v>2</x:v>
      </x:c>
      <x:c r="G81" s="562" t="n">
        <x:v>0</x:v>
      </x:c>
      <x:c r="H81" s="562" t="n">
        <x:v>0</x:v>
      </x:c>
      <x:c r="I81" s="562" t="n">
        <x:v>2</x:v>
      </x:c>
      <x:c r="J81" s="562" t="n">
        <x:v>0</x:v>
      </x:c>
      <x:c r="K81" s="562" t="n">
        <x:v>5</x:v>
      </x:c>
      <x:c r="L81" s="125"/>
    </x:row>
    <x:row r="82">
      <x:c r="A82" s="161" t="str">
        <x:v>중부</x:v>
      </x:c>
      <x:c r="B82" s="161" t="str">
        <x:v>당수동 한라</x:v>
      </x:c>
      <x:c r="C82" s="161" t="str">
        <x:v>벽산중기산업주식회사</x:v>
      </x:c>
      <x:c r="D82" s="161"/>
      <x:c r="E82" s="563" t="n">
        <x:v>1</x:v>
      </x:c>
      <x:c r="F82" s="563" t="n">
        <x:v>2</x:v>
      </x:c>
      <x:c r="G82" s="563" t="n">
        <x:v>1</x:v>
      </x:c>
      <x:c r="H82" s="563" t="n">
        <x:v>0</x:v>
      </x:c>
      <x:c r="I82" s="563" t="n">
        <x:v>0</x:v>
      </x:c>
      <x:c r="J82" s="563" t="n">
        <x:v>0</x:v>
      </x:c>
      <x:c r="K82" s="563" t="n">
        <x:v>4</x:v>
      </x:c>
      <x:c r="L82" s="126"/>
    </x:row>
    <x:row r="83">
      <x:c r="A83" s="163" t="str">
        <x:v>중부</x:v>
      </x:c>
      <x:c r="B83" s="163" t="str">
        <x:v>당수동 계룡</x:v>
      </x:c>
      <x:c r="C83" s="163" t="str">
        <x:v>주식회사 화성건기</x:v>
      </x:c>
      <x:c r="D83" s="163"/>
      <x:c r="E83" s="555" t="n">
        <x:v>1</x:v>
      </x:c>
      <x:c r="F83" s="555" t="n">
        <x:v>1</x:v>
      </x:c>
      <x:c r="G83" s="555" t="n">
        <x:v>0</x:v>
      </x:c>
      <x:c r="H83" s="555" t="n">
        <x:v>0</x:v>
      </x:c>
      <x:c r="I83" s="555" t="n">
        <x:v>2</x:v>
      </x:c>
      <x:c r="J83" s="555" t="n">
        <x:v>0</x:v>
      </x:c>
      <x:c r="K83" s="564" t="n">
        <x:v>4</x:v>
      </x:c>
      <x:c r="L83"/>
    </x:row>
    <x:row r="84">
      <x:c r="A84" t="str">
        <x:v>중부</x:v>
      </x:c>
      <x:c r="B84" t="str">
        <x:v>영화동 두산</x:v>
      </x:c>
      <x:c r="C84" t="str">
        <x:v>(주)야후건기</x:v>
      </x:c>
      <x:c r="D84"/>
      <x:c r="E84" s="536" t="n">
        <x:v>1</x:v>
      </x:c>
      <x:c r="F84" s="536" t="n">
        <x:v>1</x:v>
      </x:c>
      <x:c r="G84" s="536" t="n">
        <x:v>0</x:v>
      </x:c>
      <x:c r="H84" s="536" t="n">
        <x:v>0</x:v>
      </x:c>
      <x:c r="I84" s="536" t="n">
        <x:v>1</x:v>
      </x:c>
      <x:c r="J84" s="536" t="n">
        <x:v>0</x:v>
      </x:c>
      <x:c r="K84" s="536" t="n">
        <x:v>3</x:v>
      </x:c>
      <x:c r="L84"/>
    </x:row>
    <x:row r="85">
      <x:c r="A85" t="str">
        <x:v>중부</x:v>
      </x:c>
      <x:c r="B85" t="str">
        <x:v>수원 친환경 에너지 개선공사 주기기 구매</x:v>
      </x:c>
      <x:c r="C85" t="str">
        <x:v>신우개발(주)</x:v>
      </x:c>
      <x:c r="D85"/>
      <x:c r="E85" s="536" t="n">
        <x:v>1</x:v>
      </x:c>
      <x:c r="F85" s="536" t="n">
        <x:v>0</x:v>
      </x:c>
      <x:c r="G85" s="536" t="n">
        <x:v>0</x:v>
      </x:c>
      <x:c r="H85" s="536" t="n">
        <x:v>0</x:v>
      </x:c>
      <x:c r="I85" s="536" t="n">
        <x:v>0</x:v>
      </x:c>
      <x:c r="J85" s="536" t="n">
        <x:v>0</x:v>
      </x:c>
      <x:c r="K85" s="536" t="n">
        <x:f>SUM(E85:J85)</x:f>
        <x:v>1</x:v>
      </x:c>
      <x:c r="L85"/>
    </x:row>
    <x:row r="86">
      <x:c r="A86" t="str">
        <x:v>중부지부 소계</x:v>
      </x:c>
      <x:c r="B86"/>
      <x:c r="C86"/>
      <x:c r="D86"/>
      <x:c r="E86" s="536" t="n">
        <x:f>SUM(E81:E85)</x:f>
        <x:v>5</x:v>
      </x:c>
      <x:c r="F86" s="536" t="n">
        <x:f>SUM(F81:F85)</x:f>
        <x:v>6</x:v>
      </x:c>
      <x:c r="G86" s="536" t="n">
        <x:f>SUM(G81:G85)</x:f>
        <x:v>1</x:v>
      </x:c>
      <x:c r="H86" s="536" t="n">
        <x:f>SUM(H81:H85)</x:f>
        <x:v>0</x:v>
      </x:c>
      <x:c r="I86" s="536" t="n">
        <x:f>SUM(I81:I85)</x:f>
        <x:v>5</x:v>
      </x:c>
      <x:c r="J86" s="536" t="n">
        <x:f>SUM(J81:J85)</x:f>
        <x:v>0</x:v>
      </x:c>
      <x:c r="K86" s="536" t="n">
        <x:f>SUM(K81:K85)</x:f>
        <x:v>17</x:v>
      </x:c>
      <x:c r="L86"/>
    </x:row>
    <x:row r="87">
      <x:c r="A87" t="str">
        <x:v>소계퍼센테이지</x:v>
      </x:c>
      <x:c r="B87"/>
      <x:c r="C87"/>
      <x:c r="D87"/>
      <x:c r="E87" s="95" t="n">
        <x:f>IF($K$86=0,0,E86/$K$86)</x:f>
        <x:v>0.29411764705882354</x:v>
      </x:c>
      <x:c r="F87" s="95" t="n">
        <x:f>IF($K$86=0,0,F86/$K$86)</x:f>
        <x:v>0.35294117647058826</x:v>
      </x:c>
      <x:c r="G87" s="95" t="n">
        <x:f>IF($K$86=0,0,G86/$K$86)</x:f>
        <x:v>0.058823529411764705</x:v>
      </x:c>
      <x:c r="H87" s="95" t="n">
        <x:f>IF($K$86=0,0,H86/$K$86)</x:f>
        <x:v>0</x:v>
      </x:c>
      <x:c r="I87" s="95" t="n">
        <x:f>IF($K$86=0,0,I86/$K$86)</x:f>
        <x:v>0.29411764705882354</x:v>
      </x:c>
      <x:c r="J87" s="95" t="n">
        <x:f>IF($K$86=0,0,J86/$K$86)</x:f>
        <x:v>0</x:v>
      </x:c>
      <x:c r="K87" s="95" t="n">
        <x:f>IF($K$86=0,0,K86/$K$86)</x:f>
        <x:v>1</x:v>
      </x:c>
      <x:c r="L87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>
        <x:v>3</x:v>
      </x:c>
      <x:c r="C14" s="11">
        <x:v>3</x:v>
      </x:c>
      <x:c r="D14" s="11">
        <x:v>3</x:v>
      </x:c>
      <x:c r="E14" s="11">
        <x:v>0</x:v>
      </x:c>
      <x:c r="F14" s="11">
        <x:v>0</x:v>
      </x:c>
      <x:c r="G14" s="11">
        <x:v>2</x:v>
      </x:c>
      <x:c r="H14" s="11">
        <x:v>5</x:v>
      </x:c>
      <x:c r="I14" s="9">
        <x:v>13</x:v>
      </x:c>
      <x:c r="J14" s="34">
        <x:v>0.23076923076923081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 t="n">
        <x:v>1</x:v>
      </x:c>
      <x:c r="C43" s="536" t="n">
        <x:v>1</x:v>
      </x:c>
      <x:c r="D43" s="536" t="n">
        <x:v>0</x:v>
      </x:c>
      <x:c r="E43" s="536" t="n">
        <x:v>0</x:v>
      </x:c>
      <x:c r="F43" s="536" t="n">
        <x:v>0</x:v>
      </x:c>
      <x:c r="G43" s="536" t="n">
        <x:v>0</x:v>
      </x:c>
      <x:c r="H43" s="536" t="n">
        <x:v>0</x:v>
      </x:c>
      <x:c r="I43" s="536" t="n">
        <x:f>SUM(C43:H43)</x:f>
        <x:v>1</x:v>
      </x:c>
      <x:c r="J43" s="95" t="n">
        <x:f>IF(I43=0,0,C43/I43)</x:f>
        <x:v>1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130</x:v>
      </x:c>
      <x:c r="B6" s="16">
        <x:f t="shared" si="0"/>
        <x:v>47</x:v>
      </x:c>
      <x:c r="C6" s="16">
        <x:f t="shared" si="0"/>
        <x:v>56</x:v>
      </x:c>
      <x:c r="D6" s="16">
        <x:f t="shared" si="0"/>
        <x:v>2</x:v>
      </x:c>
      <x:c r="E6" s="16">
        <x:f t="shared" si="0"/>
        <x:v>12</x:v>
      </x:c>
      <x:c r="F6" s="16">
        <x:f t="shared" si="0"/>
        <x:v>13</x:v>
      </x:c>
    </x:row>
    <x:row r="7">
      <x:c r="A7" s="17" t="s">
        <x:v>96</x:v>
      </x:c>
      <x:c r="B7" s="35" t="n">
        <x:f>B6/A6</x:f>
        <x:v>0.36153846153846153</x:v>
      </x:c>
      <x:c r="C7" s="35" t="n">
        <x:f>C6/A6</x:f>
        <x:v>0.4307692307692308</x:v>
      </x:c>
      <x:c r="D7" s="35" t="n">
        <x:f>D6/A6</x:f>
        <x:v>0.015384615384615385</x:v>
      </x:c>
      <x:c r="E7" s="35" t="n">
        <x:f>E6/A6</x:f>
        <x:v>0.09230769230769231</x:v>
      </x:c>
      <x:c r="F7" s="35" t="n">
        <x:f>F6/A6</x:f>
        <x:v>0.1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">
        <x:v>111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112</x:v>
      </x:c>
    </x:row>
    <x:row r="17">
      <x:c r="A17" s="19">
        <x:v>7</x:v>
      </x:c>
      <x:c r="B17" s="20" t="s">
        <x:v>113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114</x:v>
      </x:c>
    </x:row>
    <x:row r="18">
      <x:c r="A18" s="24">
        <x:v>8</x:v>
      </x:c>
      <x:c r="B18" s="25" t="s">
        <x:v>115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116</x:v>
      </x:c>
    </x:row>
    <x:row r="19">
      <x:c r="A19" s="19">
        <x:v>9</x:v>
      </x:c>
      <x:c r="B19" s="20" t="s">
        <x:v>117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118</x:v>
      </x:c>
    </x:row>
    <x:row r="20" s="14" customFormat="1" ht="14.449999809265137" customHeight="1">
      <x:c r="A20" s="24">
        <x:v>10</x:v>
      </x:c>
      <x:c r="B20" s="25" t="s">
        <x:v>119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/>
      <x:c r="B21" s="30" t="s">
        <x:v>120</x:v>
      </x:c>
      <x:c r="C21" s="31" t="n">
        <x:f t="shared" ref="C21:H21" si="1">SUM(C11:C20)</x:f>
        <x:v>130</x:v>
      </x:c>
      <x:c r="D21" s="31">
        <x:f t="shared" si="1"/>
        <x:v>47</x:v>
      </x:c>
      <x:c r="E21" s="31">
        <x:f t="shared" si="1"/>
        <x:v>56</x:v>
      </x:c>
      <x:c r="F21" s="31">
        <x:f t="shared" si="1"/>
        <x:v>2</x:v>
      </x:c>
      <x:c r="G21" s="31">
        <x:f t="shared" si="1"/>
        <x:v>12</x:v>
      </x:c>
      <x:c r="H21" s="31">
        <x:f t="shared" si="1"/>
        <x:v>13</x:v>
      </x:c>
      <x:c r="I21" s="29"/>
    </x:row>
    <x:row r="22" s="14" customFormat="1" ht="14.449999809265137" customHeight="1"/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121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122</x:v>
      </x:c>
      <x:c r="B2" s="40" t="s">
        <x:v>123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124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125</x:v>
      </x:c>
      <x:c r="C4" s="43" t="s">
        <x:v>126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127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128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122</x:v>
      </x:c>
      <x:c r="B12" s="40" t="s">
        <x:v>123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124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129</x:v>
      </x:c>
      <x:c r="C13" s="43" t="s">
        <x:v>130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131</x:v>
      </x:c>
      <x:c r="C14" s="43" t="s">
        <x:v>132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127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133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122</x:v>
      </x:c>
      <x:c r="B20" s="40" t="s">
        <x:v>123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124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134</x:v>
      </x:c>
      <x:c r="C23" s="43" t="s">
        <x:v>135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136</x:v>
      </x:c>
      <x:c r="C24" s="43" t="s">
        <x:v>137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138</x:v>
      </x:c>
      <x:c r="C25" s="43" t="s">
        <x:v>139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140</x:v>
      </x:c>
      <x:c r="C26" s="43" t="s">
        <x:v>141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127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142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122</x:v>
      </x:c>
      <x:c r="B31" s="40" t="s">
        <x:v>123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124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143</x:v>
      </x:c>
      <x:c r="C33" s="43" t="s">
        <x:v>144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145</x:v>
      </x:c>
      <x:c r="C35" s="43" t="s">
        <x:v>146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125</x:v>
      </x:c>
      <x:c r="C36" s="43" t="s">
        <x:v>147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143</x:v>
      </x:c>
      <x:c r="C37" s="43" t="s">
        <x:v>148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127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149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122</x:v>
      </x:c>
      <x:c r="B42" s="40" t="s">
        <x:v>123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124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140</x:v>
      </x:c>
      <x:c r="C43" s="38" t="s">
        <x:v>150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151</x:v>
      </x:c>
      <x:c r="C44" s="43" t="s">
        <x:v>152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153</x:v>
      </x:c>
      <x:c r="C46" s="43" t="s">
        <x:v>154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127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155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122</x:v>
      </x:c>
      <x:c r="B51" s="40" t="s">
        <x:v>123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124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153</x:v>
      </x:c>
      <x:c r="C52" s="38" t="s">
        <x:v>156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157</x:v>
      </x:c>
      <x:c r="C53" s="43" t="s">
        <x:v>158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159</x:v>
      </x:c>
      <x:c r="C54" s="43" t="s">
        <x:v>160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161</x:v>
      </x:c>
      <x:c r="C55" s="43" t="s">
        <x:v>162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163</x:v>
      </x:c>
      <x:c r="C56" s="43" t="s">
        <x:v>164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165</x:v>
      </x:c>
      <x:c r="C57" s="43" t="s">
        <x:v>166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167</x:v>
      </x:c>
      <x:c r="C58" s="43" t="s">
        <x:v>168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143</x:v>
      </x:c>
      <x:c r="C59" s="43" t="s">
        <x:v>169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170</x:v>
      </x:c>
      <x:c r="C60" s="43" t="s">
        <x:v>171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172</x:v>
      </x:c>
      <x:c r="C61" s="43" t="s">
        <x:v>173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174</x:v>
      </x:c>
      <x:c r="C62" s="43" t="s">
        <x:v>175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127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176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122</x:v>
      </x:c>
      <x:c r="B68" s="40" t="s">
        <x:v>123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124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143</x:v>
      </x:c>
      <x:c r="C70" s="43" t="s">
        <x:v>177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178</x:v>
      </x:c>
      <x:c r="B71" s="41" t="s">
        <x:v>179</x:v>
      </x:c>
      <x:c r="C71" s="43" t="s">
        <x:v>180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181</x:v>
      </x:c>
      <x:c r="C72" s="51" t="s">
        <x:v>182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183</x:v>
      </x:c>
      <x:c r="C73" s="48" t="s">
        <x:v>184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127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185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122</x:v>
      </x:c>
      <x:c r="B77" s="58" t="s">
        <x:v>123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124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129</x:v>
      </x:c>
      <x:c r="C78" s="38" t="s">
        <x:v>186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125</x:v>
      </x:c>
      <x:c r="C79" s="38" t="s">
        <x:v>187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188</x:v>
      </x:c>
      <x:c r="C80" s="43" t="s">
        <x:v>189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190</x:v>
      </x:c>
      <x:c r="C81" s="43" t="s">
        <x:v>191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192</x:v>
      </x:c>
      <x:c r="C82" s="43" t="s">
        <x:v>193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194</x:v>
      </x:c>
      <x:c r="C84" s="43" t="s">
        <x:v>195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127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196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122</x:v>
      </x:c>
      <x:c r="B90" s="58" t="s">
        <x:v>123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124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197</x:v>
      </x:c>
      <x:c r="C91" s="38" t="s">
        <x:v>198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199</x:v>
      </x:c>
    </x:row>
    <x:row r="92">
      <x:c r="A92" s="42" t="s">
        <x:v>82</x:v>
      </x:c>
      <x:c r="B92" s="38" t="s">
        <x:v>200</x:v>
      </x:c>
      <x:c r="C92" s="38" t="s">
        <x:v>201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202</x:v>
      </x:c>
      <x:c r="C93" s="43" t="s">
        <x:v>203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204</x:v>
      </x:c>
      <x:c r="C94" s="43" t="s">
        <x:v>205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206</x:v>
      </x:c>
    </x:row>
    <x:row r="95" ht="17.25">
      <x:c r="A95" s="42" t="s">
        <x:v>33</x:v>
      </x:c>
      <x:c r="B95" s="41" t="s">
        <x:v>197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207</x:v>
      </x:c>
    </x:row>
    <x:row r="96">
      <x:c r="A96" s="41" t="s">
        <x:v>79</x:v>
      </x:c>
      <x:c r="B96" s="42" t="s">
        <x:v>145</x:v>
      </x:c>
      <x:c r="C96" s="43" t="s">
        <x:v>208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209</x:v>
      </x:c>
      <x:c r="C97" s="43" t="s">
        <x:v>210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207</x:v>
      </x:c>
    </x:row>
    <x:row r="98" ht="17.25">
      <x:c r="A98" s="42" t="s">
        <x:v>80</x:v>
      </x:c>
      <x:c r="B98" s="41" t="s">
        <x:v>211</x:v>
      </x:c>
      <x:c r="C98" s="43" t="s">
        <x:v>212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213</x:v>
      </x:c>
      <x:c r="C99" s="48" t="s">
        <x:v>214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215</x:v>
      </x:c>
      <x:c r="C100" s="44" t="s">
        <x:v>216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217</x:v>
      </x:c>
    </x:row>
    <x:row r="102" s="14" customFormat="1" ht="15.399999618530273" customHeight="1">
      <x:c r="A102" s="48" t="s">
        <x:v>127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218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122</x:v>
      </x:c>
      <x:c r="B105" s="57" t="s">
        <x:v>123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124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219</x:v>
      </x:c>
      <x:c r="C106" s="43" t="s">
        <x:v>220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221</x:v>
      </x:c>
      <x:c r="B107" s="41" t="s">
        <x:v>222</x:v>
      </x:c>
      <x:c r="C107" s="43" t="s">
        <x:v>223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224</x:v>
      </x:c>
      <x:c r="C108" s="43" t="s">
        <x:v>225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226</x:v>
      </x:c>
      <x:c r="B109" s="44" t="s">
        <x:v>200</x:v>
      </x:c>
      <x:c r="C109" s="44" t="s">
        <x:v>227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207</x:v>
      </x:c>
    </x:row>
    <x:row r="110" ht="18.75">
      <x:c r="A110" s="73" t="s">
        <x:v>56</x:v>
      </x:c>
      <x:c r="B110" s="44" t="s">
        <x:v>228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229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197</x:v>
      </x:c>
      <x:c r="C112" s="173" t="s">
        <x:v>230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151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231</x:v>
      </x:c>
      <x:c r="C114" s="176" t="s">
        <x:v>232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용인클라우드</x:v>
      </x:c>
      <x:c r="D115" s="536" t="n">
        <x:v>1</x:v>
      </x:c>
      <x:c r="E115" s="536" t="n">
        <x:v>1</x:v>
      </x:c>
      <x:c r="F115" s="536" t="n">
        <x:v>0</x:v>
      </x:c>
      <x:c r="G115" s="536" t="n">
        <x:v>0</x:v>
      </x:c>
      <x:c r="H115" s="536" t="n">
        <x:v>0</x:v>
      </x:c>
      <x:c r="I115" s="536" t="n">
        <x:v>0</x:v>
      </x:c>
      <x:c r="J115" t="str">
        <x:v>2026-10-17 입사 / 용인지부 / 최신 명단 신규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str">
        <x:v>합계</x:v>
      </x:c>
      <x:c r="B117"/>
      <x:c r="C117"/>
      <x:c r="D117" s="536" t="n">
        <x:f>SUM(D106:D116)</x:f>
        <x:v>43</x:v>
      </x:c>
      <x:c r="E117" s="536" t="n">
        <x:f>SUM(E106:E116)</x:f>
        <x:v>13</x:v>
      </x:c>
      <x:c r="F117" s="536" t="n">
        <x:f>SUM(F106:F116)</x:f>
        <x:v>20</x:v>
      </x:c>
      <x:c r="G117" s="536" t="n">
        <x:f>SUM(G106:G116)</x:f>
        <x:v>2</x:v>
      </x:c>
      <x:c r="H117" s="536" t="n">
        <x:f>SUM(H106:H116)</x:f>
        <x:v>4</x:v>
      </x:c>
      <x:c r="I117" s="536" t="n">
        <x:f>SUM(I106:I116)</x:f>
        <x:v>4</x:v>
      </x:c>
      <x:c r="J117" t="str">
        <x:v>※ 미정 4대 (인력 확정 전), 다른 월 기록 유지</x:v>
      </x:c>
    </x:row>
    <x:row r="118">
      <x:c r="A118" t="str">
        <x:v>비율 (총대수=100%)</x:v>
      </x:c>
      <x:c r="B118"/>
      <x:c r="C118"/>
      <x:c r="D118" s="95" t="n">
        <x:f>IF($D$117=0,0,D117/$D$117)</x:f>
        <x:v>1</x:v>
      </x:c>
      <x:c r="E118" s="95" t="n">
        <x:f>IF($D$117=0,0,E117/$D$117)</x:f>
        <x:v>0.3023255813953488</x:v>
      </x:c>
      <x:c r="F118" s="95" t="n">
        <x:f>IF($D$117=0,0,F117/$D$117)</x:f>
        <x:v>0.46511627906976744</x:v>
      </x:c>
      <x:c r="G118" s="95" t="n">
        <x:f>IF($D$117=0,0,G117/$D$117)</x:f>
        <x:v>0.046511627906976744</x:v>
      </x:c>
      <x:c r="H118" s="95" t="n">
        <x:f>IF($D$117=0,0,H117/$D$117)</x:f>
        <x:v>0.09302325581395349</x:v>
      </x:c>
      <x:c r="I118" s="95" t="n">
        <x:f>IF($D$117=0,0,I117/$D$117)</x:f>
        <x:v>0.09302325581395349</x:v>
      </x:c>
      <x:c r="J118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543fe3a1e9d14d29"/>
</x:worksheet>
</file>