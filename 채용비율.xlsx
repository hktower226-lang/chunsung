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juju\Desktop\통합\"/>
    </mc:Choice>
  </mc:AlternateContent>
  <xr:revisionPtr revIDLastSave="0" documentId="13_ncr:1_{295F628A-D6A7-4F36-BE49-C2C7179CD65F}" xr6:coauthVersionLast="47" xr6:coauthVersionMax="47" xr10:uidLastSave="{00000000-0000-0000-0000-000000000000}"/>
  <bookViews>
    <workbookView xWindow="7332" yWindow="3576" windowWidth="16908" windowHeight="12156" xr2:uid="{00000000-000D-0000-FFFF-FFFF00000000}"/>
  </bookViews>
  <sheets>
    <sheet name="채용비율" sheetId="2" r:id="rId1"/>
    <sheet name="반도체현장" sheetId="4" r:id="rId2"/>
    <sheet name="목록" sheetId="3" r:id="rId3"/>
  </sheets>
  <definedNames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4" l="1"/>
  <c r="G21" i="4"/>
  <c r="F21" i="4"/>
  <c r="E21" i="4"/>
  <c r="D21" i="4"/>
  <c r="C21" i="4"/>
  <c r="E7" i="4"/>
  <c r="D7" i="4"/>
  <c r="F6" i="4"/>
  <c r="E6" i="4"/>
  <c r="D6" i="4"/>
  <c r="C6" i="4"/>
  <c r="C7" i="4" s="1"/>
  <c r="B6" i="4"/>
  <c r="A6" i="4"/>
  <c r="B7" i="4" s="1"/>
  <c r="K76" i="2"/>
  <c r="I37" i="2"/>
  <c r="I47" i="2"/>
  <c r="H37" i="2"/>
  <c r="H47" i="2"/>
  <c r="G37" i="2"/>
  <c r="G47" i="2"/>
  <c r="K37" i="2"/>
  <c r="J37" i="2"/>
  <c r="F37" i="2"/>
  <c r="E37" i="2"/>
  <c r="K32" i="2"/>
  <c r="J32" i="2"/>
  <c r="I32" i="2"/>
  <c r="H32" i="2"/>
  <c r="G32" i="2"/>
  <c r="F32" i="2"/>
  <c r="E32" i="2"/>
  <c r="K28" i="2"/>
  <c r="J28" i="2"/>
  <c r="I28" i="2"/>
  <c r="H28" i="2"/>
  <c r="G28" i="2"/>
  <c r="F28" i="2"/>
  <c r="E28" i="2"/>
  <c r="K12" i="2"/>
  <c r="J12" i="2"/>
  <c r="I12" i="2"/>
  <c r="H12" i="2"/>
  <c r="G12" i="2"/>
  <c r="F12" i="2"/>
  <c r="E12" i="2"/>
  <c r="F7" i="4" l="1"/>
</calcChain>
</file>

<file path=xl/sharedStrings.xml><?xml version="1.0" encoding="utf-8"?>
<sst xmlns="http://schemas.openxmlformats.org/spreadsheetml/2006/main" count="906" uniqueCount="711">
  <si>
    <t>성별</t>
  </si>
  <si>
    <t>시/도</t>
  </si>
  <si>
    <t>원청사</t>
  </si>
  <si>
    <t>대형/소형</t>
  </si>
  <si>
    <t>비고</t>
  </si>
  <si>
    <t>미정</t>
  </si>
  <si>
    <t>경기지역본부</t>
  </si>
  <si>
    <t>남</t>
  </si>
  <si>
    <t>경기도</t>
  </si>
  <si>
    <t>벽산중기산업주식회사</t>
  </si>
  <si>
    <t>에이치엘디앤아이한라(주)</t>
  </si>
  <si>
    <t>수원시</t>
  </si>
  <si>
    <t>여</t>
  </si>
  <si>
    <t>신우개발(주)</t>
  </si>
  <si>
    <t>삼성이앤에이(주)</t>
  </si>
  <si>
    <t>평택시</t>
  </si>
  <si>
    <t>(주)국영타워랜드</t>
  </si>
  <si>
    <t>(주)대우건설</t>
  </si>
  <si>
    <t>화성시</t>
  </si>
  <si>
    <t>(주)동양타워엔지니어링</t>
  </si>
  <si>
    <t>롯데건설(주)</t>
  </si>
  <si>
    <t>시흥시</t>
  </si>
  <si>
    <t>소형(비고에 작성)</t>
  </si>
  <si>
    <t>삼성물산(주)</t>
  </si>
  <si>
    <t>뉴월드타워 주식회사</t>
  </si>
  <si>
    <t>우미건설(주)</t>
  </si>
  <si>
    <t>오산시</t>
  </si>
  <si>
    <t>(주)신화중공업</t>
  </si>
  <si>
    <t>한신공영(주)</t>
  </si>
  <si>
    <t>(주)타워랜드</t>
  </si>
  <si>
    <t>지에스건설(주)</t>
  </si>
  <si>
    <t>안양시</t>
  </si>
  <si>
    <t>(주)우성건설기계</t>
  </si>
  <si>
    <t>(주)서희건설</t>
  </si>
  <si>
    <t>이천시</t>
  </si>
  <si>
    <t>(주)썬타워</t>
  </si>
  <si>
    <t>(주)한진</t>
  </si>
  <si>
    <t>성남시</t>
  </si>
  <si>
    <t>(주)동원개발</t>
  </si>
  <si>
    <t>주식회사 화성건기</t>
  </si>
  <si>
    <t>계룡건설산업(주)</t>
  </si>
  <si>
    <t>(주)성광엔지니어링</t>
  </si>
  <si>
    <t>현대엔지니어링(주)</t>
  </si>
  <si>
    <t>민노</t>
  </si>
  <si>
    <t>주식회사 비엠케이</t>
  </si>
  <si>
    <t>경남기업(주)(SM)</t>
  </si>
  <si>
    <t>광주시</t>
  </si>
  <si>
    <t>인천광역시</t>
  </si>
  <si>
    <t>코오롱글로벌(주)</t>
  </si>
  <si>
    <t>서울특별시</t>
  </si>
  <si>
    <t>주식회사 우정타워</t>
  </si>
  <si>
    <t>대방건설(주)</t>
  </si>
  <si>
    <t>현대건설(주)</t>
  </si>
  <si>
    <t>대구광역시</t>
  </si>
  <si>
    <t>(주)포스코이앤씨</t>
  </si>
  <si>
    <t>여주시</t>
  </si>
  <si>
    <t>서구</t>
  </si>
  <si>
    <t>과천시</t>
  </si>
  <si>
    <t>오투기계산업(주)</t>
  </si>
  <si>
    <t>에이치디씨현대산업개발(주)</t>
  </si>
  <si>
    <t>(주)한백산업</t>
  </si>
  <si>
    <t>디엘이앤씨(주)</t>
  </si>
  <si>
    <t>도평건기(주)</t>
  </si>
  <si>
    <t>주식회사 가람타워</t>
  </si>
  <si>
    <t>(주)보미건설</t>
  </si>
  <si>
    <t>(주)규람타워렌탈</t>
  </si>
  <si>
    <t>양우종합건설(주)</t>
  </si>
  <si>
    <t>의왕시</t>
  </si>
  <si>
    <t>에스케이에코플랜트(주)</t>
  </si>
  <si>
    <t>용인시</t>
  </si>
  <si>
    <t>주식회사건설타워</t>
  </si>
  <si>
    <t>(주)야후건기</t>
  </si>
  <si>
    <t>두산건설(주)</t>
  </si>
  <si>
    <t>(주)그린시티건설</t>
  </si>
  <si>
    <t>(주)타워링</t>
  </si>
  <si>
    <t>배곧서울대학교병원</t>
  </si>
  <si>
    <t>(주)예림타워</t>
  </si>
  <si>
    <t>쌍용건설(주)</t>
  </si>
  <si>
    <t>주식회사 씨에이치건기</t>
  </si>
  <si>
    <t>(주)금강주택</t>
  </si>
  <si>
    <t>군포시</t>
  </si>
  <si>
    <t>(주)대원타워렌탈</t>
  </si>
  <si>
    <t>동원건설산업(주)</t>
  </si>
  <si>
    <t>이수건설(주)</t>
  </si>
  <si>
    <t>충청남도</t>
  </si>
  <si>
    <t>에스엠스틸(주) 건설부문</t>
  </si>
  <si>
    <t>에스지씨이앤씨(주)</t>
  </si>
  <si>
    <t>충청북도</t>
  </si>
  <si>
    <t>주식회사 백산렌탈</t>
  </si>
  <si>
    <t>(주)한성프라임</t>
  </si>
  <si>
    <t>효성중공업(주)</t>
  </si>
  <si>
    <t>(주)금성백조주택</t>
  </si>
  <si>
    <t>안성시</t>
  </si>
  <si>
    <t>주식회사 한불타워</t>
  </si>
  <si>
    <t>(주)태영건설</t>
  </si>
  <si>
    <t>(주)제일타워공영</t>
  </si>
  <si>
    <t>(주)비에스한양</t>
  </si>
  <si>
    <t>(주)우리기계산업</t>
  </si>
  <si>
    <t>강산건설(주)</t>
  </si>
  <si>
    <t>(주)오성산업</t>
  </si>
  <si>
    <t>농심엔지니어링(주)</t>
  </si>
  <si>
    <t>정호개발주식회사</t>
  </si>
  <si>
    <t>금호건설(주)</t>
  </si>
  <si>
    <t>영등포구</t>
  </si>
  <si>
    <t>동부건설(주)</t>
  </si>
  <si>
    <t>용인클러스터 상생협력시설(기숙사 1차)</t>
  </si>
  <si>
    <t>평택 고덕국제화계획지구 Abc-36BL 공동주택 신축공사</t>
  </si>
  <si>
    <t>안산시</t>
  </si>
  <si>
    <t>한노</t>
  </si>
  <si>
    <t>주식회사월드타워</t>
  </si>
  <si>
    <t>(주)금강건기</t>
  </si>
  <si>
    <t>(주)대광건영</t>
  </si>
  <si>
    <t>(주)진성타워</t>
  </si>
  <si>
    <t>양우건설(주)</t>
  </si>
  <si>
    <t>(주)금강서비스</t>
  </si>
  <si>
    <t>(주)유니텍서비스</t>
  </si>
  <si>
    <t>진흥기업(주)</t>
  </si>
  <si>
    <t>양평군</t>
  </si>
  <si>
    <t>대방산업개발(주)</t>
  </si>
  <si>
    <t>서초구</t>
  </si>
  <si>
    <t>주식회사 가교기업</t>
  </si>
  <si>
    <t>주식회사 삼진타워</t>
  </si>
  <si>
    <t>화성비봉 지역주택조합 아파트 신축공사</t>
  </si>
  <si>
    <t>이윤기</t>
  </si>
  <si>
    <t>기타(비고에 작성)</t>
  </si>
  <si>
    <t>두산에너빌리티(주)</t>
  </si>
  <si>
    <t>범진종합건설(주)</t>
  </si>
  <si>
    <t>광명시</t>
  </si>
  <si>
    <t>(주)태왕이앤씨</t>
  </si>
  <si>
    <t>극동건설(주)</t>
  </si>
  <si>
    <t>라온건설(주)</t>
  </si>
  <si>
    <t>(주)장원기전</t>
  </si>
  <si>
    <t>국제산업렌탈(주)</t>
  </si>
  <si>
    <t>(주)한토건설</t>
  </si>
  <si>
    <t>(주)정수이엔지</t>
  </si>
  <si>
    <t>주식회사 경복타워</t>
  </si>
  <si>
    <t>주식회사 한산타워</t>
  </si>
  <si>
    <t>강원도</t>
  </si>
  <si>
    <t>(주)중앙티씨렌탈</t>
  </si>
  <si>
    <t>(주)탑랜드타워</t>
  </si>
  <si>
    <t>하이웍스(주)</t>
  </si>
  <si>
    <t>(주)미래도건설</t>
  </si>
  <si>
    <t>주식회사 현성건설</t>
  </si>
  <si>
    <t>청주시</t>
  </si>
  <si>
    <t>취업 중</t>
  </si>
  <si>
    <t>대전광역시</t>
  </si>
  <si>
    <t>유성구</t>
  </si>
  <si>
    <t>울산광역시</t>
  </si>
  <si>
    <t>동구</t>
  </si>
  <si>
    <t>남양주시</t>
  </si>
  <si>
    <t>대기자</t>
  </si>
  <si>
    <t>1.26년 전체 소속별 점유율 (통계제외 현장 제외)</t>
  </si>
  <si>
    <t>소속</t>
  </si>
  <si>
    <t>섬유</t>
  </si>
  <si>
    <t>건산</t>
  </si>
  <si>
    <t>직원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</si>
  <si>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</si>
  <si>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</si>
  <si>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</si>
  <si>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</si>
  <si>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</si>
  <si>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</si>
  <si>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</si>
  <si>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</si>
  <si>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</si>
  <si>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</si>
  <si>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북부</t>
  </si>
  <si>
    <t>복정동 한라건설</t>
  </si>
  <si>
    <t>성남동원건설</t>
  </si>
  <si>
    <t>제3판교 테크노밸리 상업 1-2,3블럭 업무시설 신축공사(동원건설산업)</t>
  </si>
  <si>
    <t>북부지부 소계</t>
  </si>
  <si>
    <t>남부</t>
  </si>
  <si>
    <t>동탄2 태영건설</t>
  </si>
  <si>
    <t>동탄2 대우건설(국영)</t>
  </si>
  <si>
    <t>동탄2 대우건설(동양)</t>
  </si>
  <si>
    <t>동탄2 한토</t>
  </si>
  <si>
    <t>평택브레인시티 동원</t>
  </si>
  <si>
    <t>평택고덕 대우건설(썬타워)</t>
  </si>
  <si>
    <t>평택고덕 대우건설(한산타워)</t>
  </si>
  <si>
    <t>화양지구 쌍용</t>
  </si>
  <si>
    <t>안성농심</t>
  </si>
  <si>
    <t>안성건영</t>
  </si>
  <si>
    <t>동탄2 서희27블럭</t>
  </si>
  <si>
    <t>63블럭 금호</t>
  </si>
  <si>
    <t>탑랜드</t>
  </si>
  <si>
    <t>평택고덕 금호건설 64bl</t>
  </si>
  <si>
    <t>미정2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</si>
  <si>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</si>
  <si>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</si>
  <si>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</si>
  <si>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</si>
  <si>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</si>
  <si>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</si>
  <si>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</si>
  <si>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</si>
  <si>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</si>
  <si>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</si>
  <si>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동부지부 소계</t>
  </si>
  <si>
    <t>서부</t>
  </si>
  <si>
    <t>시화mtv주차장</t>
  </si>
  <si>
    <t>우리기계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</si>
  <si>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</si>
  <si>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</si>
  <si>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</si>
  <si>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</si>
  <si>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</si>
  <si>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</si>
  <si>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서부지부 소계</t>
  </si>
  <si>
    <t>북서</t>
  </si>
  <si>
    <t>군포시 SGC건설</t>
  </si>
  <si>
    <t>관양동 DL이앤씨</t>
  </si>
  <si>
    <t>한백·벽산</t>
  </si>
  <si>
    <t>한백6대·벽산2대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</si>
  <si>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</si>
  <si>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</si>
  <si>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</si>
  <si>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</si>
  <si>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</si>
  <si>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</si>
  <si>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</si>
  <si>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</si>
  <si>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</si>
  <si>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</si>
  <si>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</si>
  <si>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</si>
  <si>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</si>
  <si>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안양샘병원</t>
  </si>
  <si>
    <t>마평동 여성복지회관</t>
  </si>
  <si>
    <t>(주)무기타워렌탈</t>
  </si>
  <si>
    <t>신대지구 대우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</si>
  <si>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</si>
  <si>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</si>
  <si>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</si>
  <si>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</si>
  <si>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</si>
  <si>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</si>
  <si>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</si>
  <si>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</si>
  <si>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</si>
  <si>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</si>
  <si>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</si>
  <si>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3.타워(렌탈)사별 점유 현황 (통계제외 제외)</t>
  </si>
  <si>
    <t>타워사</t>
  </si>
  <si>
    <t>현장수</t>
  </si>
  <si>
    <t>기타</t>
  </si>
  <si>
    <t>한노점유율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</si>
  <si>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</si>
  <si>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</si>
  <si>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</si>
  <si>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</si>
  <si>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</si>
  <si>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</si>
  <si>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</si>
  <si>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</si>
  <si>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</si>
  <si>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</si>
  <si>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</si>
  <si>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</si>
  <si>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</si>
  <si>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</si>
  <si>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</si>
  <si>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</si>
  <si>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</si>
  <si>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</si>
  <si>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</si>
  <si>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</si>
  <si>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</si>
  <si>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</si>
  <si>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</si>
  <si>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</si>
  <si>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</si>
  <si>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</si>
  <si>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</si>
  <si>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</si>
  <si>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</si>
  <si>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</si>
  <si>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</si>
  <si>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</si>
  <si>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</si>
  <si>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</si>
  <si>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</si>
  <si>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</si>
  <si>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</si>
  <si>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</si>
  <si>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</si>
  <si>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</si>
  <si>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</si>
  <si>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</si>
  <si>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</si>
  <si>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</si>
  <si>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</si>
  <si>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</si>
  <si>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</si>
  <si>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</si>
  <si>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</si>
  <si>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</si>
  <si>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</si>
  <si>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</si>
  <si>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</si>
  <si>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</si>
  <si>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</si>
  <si>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</si>
  <si>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</si>
  <si>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</si>
  <si>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</si>
  <si>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</si>
  <si>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</si>
  <si>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</si>
  <si>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</si>
  <si>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</si>
  <si>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</si>
  <si>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</si>
  <si>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</si>
  <si>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</si>
  <si>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</si>
  <si>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</si>
  <si>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</si>
  <si>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</si>
  <si>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광진구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</si>
  <si>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</si>
  <si>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</si>
  <si>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</si>
  <si>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</si>
  <si>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</si>
  <si>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</si>
  <si>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</si>
  <si>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</si>
  <si>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</si>
  <si>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</si>
  <si>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</si>
  <si>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</si>
  <si>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</si>
  <si>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</si>
  <si>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</si>
  <si>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</si>
  <si>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</si>
  <si>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</si>
  <si>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</si>
  <si>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</si>
  <si>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</si>
  <si>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</si>
  <si>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</si>
  <si>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</si>
  <si>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</si>
  <si>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</si>
  <si>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</si>
  <si>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</si>
  <si>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</si>
  <si>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</si>
  <si>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</si>
  <si>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</si>
  <si>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</si>
  <si>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</si>
  <si>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</si>
  <si>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</si>
  <si>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</si>
  <si>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</si>
  <si>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</si>
  <si>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</si>
  <si>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</si>
  <si>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</si>
  <si>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</si>
  <si>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</si>
  <si>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</si>
  <si>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</si>
  <si>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</si>
  <si>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</si>
  <si>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</si>
  <si>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(주)남산공영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</si>
  <si>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</si>
  <si>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</si>
  <si>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</si>
  <si>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</si>
  <si>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</si>
  <si>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</si>
  <si>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</si>
  <si>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</si>
  <si>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</si>
  <si>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</si>
  <si>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</si>
  <si>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</si>
  <si>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</si>
  <si>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</si>
  <si>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</si>
  <si>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</si>
  <si>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</si>
  <si>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</si>
  <si>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</si>
  <si>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</si>
  <si>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</si>
  <si>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</si>
  <si>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</si>
  <si>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</si>
  <si>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</si>
  <si>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</si>
  <si>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</si>
  <si>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</si>
  <si>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</si>
  <si>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</si>
  <si>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</si>
  <si>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</si>
  <si>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</si>
  <si>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</si>
  <si>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</si>
  <si>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</si>
  <si>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</si>
  <si>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</si>
  <si>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</si>
  <si>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</si>
  <si>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</si>
  <si>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</si>
  <si>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</si>
  <si>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</si>
  <si>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</si>
  <si>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</si>
  <si>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</si>
  <si>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</si>
  <si>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</si>
  <si>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</si>
  <si>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</si>
  <si>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</si>
  <si>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</si>
  <si>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</si>
  <si>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</si>
  <si>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</si>
  <si>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</si>
  <si>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</si>
  <si>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</si>
  <si>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</si>
  <si>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</si>
  <si>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</si>
  <si>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</si>
  <si>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</si>
  <si>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</si>
  <si>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</si>
  <si>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</si>
  <si>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</si>
  <si>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</si>
  <si>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</si>
  <si>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</si>
  <si>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</si>
  <si>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</si>
  <si>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</si>
  <si>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</si>
  <si>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</si>
  <si>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</si>
  <si>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</si>
  <si>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</si>
  <si>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</si>
  <si>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</si>
  <si>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</si>
  <si>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</si>
  <si>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</si>
  <si>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</si>
  <si>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</si>
  <si>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</si>
  <si>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</si>
  <si>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</si>
  <si>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</si>
  <si>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</si>
  <si>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</si>
  <si>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</si>
  <si>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</si>
  <si>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</si>
  <si>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</si>
  <si>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</si>
  <si>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</si>
  <si>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</si>
  <si>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</si>
  <si>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</si>
  <si>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</si>
  <si>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</si>
  <si>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</si>
  <si>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</si>
  <si>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</si>
  <si>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</si>
  <si>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</si>
  <si>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</si>
  <si>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</si>
  <si>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</si>
  <si>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</si>
  <si>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</si>
  <si>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</si>
  <si>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</si>
  <si>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</si>
  <si>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</si>
  <si>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</si>
  <si>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</si>
  <si>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</si>
  <si>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</si>
  <si>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</si>
  <si>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</si>
  <si>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</si>
  <si>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</si>
  <si>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</si>
  <si>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</si>
  <si>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</si>
  <si>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</si>
  <si>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</si>
  <si>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</si>
  <si>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</si>
  <si>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</si>
  <si>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</si>
  <si>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</si>
  <si>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</si>
  <si>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</si>
  <si>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</si>
  <si>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</si>
  <si>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</si>
  <si>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</si>
  <si>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</si>
  <si>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</si>
  <si>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</si>
  <si>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</si>
  <si>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</si>
  <si>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</si>
  <si>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</si>
  <si>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</si>
  <si>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</si>
  <si>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</si>
  <si>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</si>
  <si>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</si>
  <si>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</si>
  <si>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</si>
  <si>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</si>
  <si>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</si>
  <si>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</si>
  <si>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</si>
  <si>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</si>
  <si>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</si>
  <si>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</si>
  <si>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</si>
  <si>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</si>
  <si>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</si>
  <si>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</si>
  <si>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</si>
  <si>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</si>
  <si>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</si>
  <si>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</si>
  <si>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</si>
  <si>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</si>
  <si>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</si>
  <si>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</si>
  <si>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</si>
  <si>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</si>
  <si>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</si>
  <si>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</si>
  <si>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</si>
  <si>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</si>
  <si>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</si>
  <si>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</si>
  <si>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</si>
  <si>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</si>
  <si>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</si>
  <si>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</si>
  <si>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</si>
  <si>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</si>
  <si>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</si>
  <si>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(주)호반건설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</si>
  <si>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</si>
  <si>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</si>
  <si>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</si>
  <si>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</si>
  <si>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</si>
  <si>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</si>
  <si>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</si>
  <si>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</si>
  <si>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</si>
  <si>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</si>
  <si>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</si>
  <si>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</si>
  <si>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</si>
  <si>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</si>
  <si>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</si>
  <si>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</si>
  <si>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</si>
  <si>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</si>
  <si>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</si>
  <si>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</si>
  <si>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</si>
  <si>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</si>
  <si>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</si>
  <si>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</si>
  <si>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</si>
  <si>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</si>
  <si>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</si>
  <si>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</si>
  <si>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</si>
  <si>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</si>
  <si>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</si>
  <si>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</si>
  <si>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</si>
  <si>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</si>
  <si>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</si>
  <si>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</si>
  <si>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</si>
  <si>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</si>
  <si>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</si>
  <si>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</si>
  <si>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</si>
  <si>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</si>
  <si>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</si>
  <si>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</si>
  <si>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</si>
  <si>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</si>
  <si>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</si>
  <si>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</si>
  <si>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</si>
  <si>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</si>
  <si>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</si>
  <si>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</si>
  <si>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</si>
  <si>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</si>
  <si>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</si>
  <si>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</si>
  <si>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</si>
  <si>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</si>
  <si>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</si>
  <si>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</si>
  <si>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</si>
  <si>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</si>
  <si>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</si>
  <si>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</si>
  <si>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</si>
  <si>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</si>
  <si>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</si>
  <si>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</si>
  <si>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</si>
  <si>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</si>
  <si>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</si>
  <si>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</si>
  <si>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</si>
  <si>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</si>
  <si>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주식회사 필웍스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</si>
  <si>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</si>
  <si>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</si>
  <si>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</si>
  <si>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</si>
  <si>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</si>
  <si>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</si>
  <si>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</si>
  <si>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</si>
  <si>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</si>
  <si>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</si>
  <si>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</si>
  <si>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</si>
  <si>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</si>
  <si>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</si>
  <si>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</si>
  <si>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</si>
  <si>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</si>
  <si>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</si>
  <si>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</si>
  <si>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</si>
  <si>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</si>
  <si>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</si>
  <si>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</si>
  <si>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</si>
  <si>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</si>
  <si>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</si>
  <si>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</si>
  <si>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</si>
  <si>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</si>
  <si>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</si>
  <si>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</si>
  <si>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</si>
  <si>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</si>
  <si>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</si>
  <si>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</si>
  <si>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</si>
  <si>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</si>
  <si>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</si>
  <si>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</si>
  <si>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</si>
  <si>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</si>
  <si>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</si>
  <si>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</si>
  <si>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</si>
  <si>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</si>
  <si>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</si>
  <si>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</si>
  <si>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</si>
  <si>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</si>
  <si>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</si>
  <si>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</si>
  <si>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</si>
  <si>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</si>
  <si>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</si>
  <si>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</si>
  <si>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</si>
  <si>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</si>
  <si>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</si>
  <si>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</si>
  <si>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</si>
  <si>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</si>
  <si>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</si>
  <si>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</si>
  <si>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</si>
  <si>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평택 삼성 반도체 P5복합동</t>
  </si>
  <si>
    <t>평택삼성 P5 FAB동 1차구간</t>
  </si>
  <si>
    <t>평택삼성 P5 FAB동 2차구간</t>
  </si>
  <si>
    <t>평택삼성 P4 대기방지(배정완료)</t>
  </si>
  <si>
    <t>배정완료</t>
  </si>
  <si>
    <t>p4 복합동(배정완료)</t>
    <phoneticPr fontId="25" type="noConversion"/>
  </si>
  <si>
    <t>기흥 NRD K2</t>
  </si>
  <si>
    <t>용인 SK하이닉스 FAB동</t>
  </si>
  <si>
    <t>용인 하이닉스 PH4 CUB동</t>
  </si>
  <si>
    <t>용인 SK PH4 FAB동</t>
  </si>
  <si>
    <t>삼성p5 그린동</t>
  </si>
  <si>
    <t>현장마감 리스트</t>
  </si>
  <si>
    <t>합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</si>
</sst>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b/>
      <sz val="10"/>
      <name val="Noto Sans CJK SC"/>
      <family val="2"/>
    </font>
    <font>
      <b/>
      <sz val="10"/>
      <name val="Arial"/>
      <family val="2"/>
    </font>
    <font>
      <sz val="10"/>
      <name val="Noto Sans CJK SC"/>
      <family val="2"/>
    </font>
    <font>
      <sz val="10"/>
      <name val="Arial"/>
      <family val="2"/>
    </font>
    <font>
      <b/>
      <sz val="13"/>
      <color rgb="FFFFFFFF"/>
      <name val="Noto Sans CJK SC"/>
      <family val="3"/>
      <charset val="129"/>
    </font>
    <font>
      <i/>
      <sz val="10"/>
      <color rgb="FF999999"/>
      <name val="Arial"/>
      <family val="2"/>
    </font>
    <font>
      <i/>
      <sz val="10"/>
      <color rgb="FF999999"/>
      <name val="Noto Sans CJK SC"/>
      <family val="2"/>
    </font>
    <font>
      <sz val="10"/>
      <color rgb="FFB45309"/>
      <name val="Noto Sans CJK SC"/>
      <family val="2"/>
    </font>
    <font>
      <b/>
      <sz val="14"/>
      <color rgb="FFFFFFFF"/>
      <name val="Noto Sans CJK SC"/>
      <family val="3"/>
      <charset val="129"/>
    </font>
    <font>
      <sz val="10"/>
      <color rgb="FFFF0000"/>
      <name val="Arial"/>
      <family val="2"/>
    </font>
    <font>
      <sz val="8"/>
      <name val="맑은 고딕"/>
      <family val="2"/>
      <charset val="129"/>
      <scheme val="minor"/>
    </font>
    <font>
      <b/>
      <sz val="16"/>
      <color rgb="FF1F497D"/>
      <name val="맑은 고딕"/>
      <family val="3"/>
      <charset val="129"/>
    </font>
    <font>
      <b/>
      <sz val="10"/>
      <color rgb="FF595959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595959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9FAFB"/>
        <bgColor rgb="FFF9FAFB"/>
      </patternFill>
    </fill>
    <fill>
      <patternFill patternType="solid">
        <fgColor rgb="FFE9EDF4"/>
        <bgColor rgb="FFE9EDF4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9" fontId="3" fillId="0" borderId="0" xfId="0" applyNumberFormat="1" applyFont="1" applyAlignment="1"/>
    <xf numFmtId="0" fontId="4" fillId="8" borderId="1" xfId="0" applyFont="1" applyFill="1" applyBorder="1" applyAlignment="1">
      <alignment horizontal="center" vertical="center" wrapText="1"/>
    </xf>
    <xf numFmtId="9" fontId="3" fillId="0" borderId="0" xfId="0" applyNumberFormat="1" applyFont="1">
      <alignment vertical="center"/>
    </xf>
    <xf numFmtId="0" fontId="10" fillId="2" borderId="0" xfId="0" applyFont="1" applyFill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6" fontId="15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>
      <alignment vertical="center"/>
    </xf>
    <xf numFmtId="176" fontId="9" fillId="0" borderId="1" xfId="0" applyNumberFormat="1" applyFont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0" fillId="0" borderId="0" xfId="0">
      <alignment vertical="center"/>
    </xf>
    <xf numFmtId="0" fontId="10" fillId="2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0" fillId="0" borderId="0" xfId="0" applyAlignment="1"/>
    <xf numFmtId="0" fontId="18" fillId="0" borderId="0" xfId="0" applyFont="1" applyAlignment="1">
      <alignment horizontal="left" vertical="center"/>
    </xf>
    <xf numFmtId="0" fontId="0" fillId="0" borderId="0" xfId="0" applyAlignment="1"/>
    <xf numFmtId="0" fontId="19" fillId="0" borderId="0" xfId="0" applyFont="1" applyAlignment="1"/>
    <xf numFmtId="0" fontId="20" fillId="12" borderId="0" xfId="0" applyFont="1" applyFill="1" applyAlignment="1">
      <alignment horizontal="center" vertical="center"/>
    </xf>
    <xf numFmtId="3" fontId="21" fillId="13" borderId="0" xfId="0" applyNumberFormat="1" applyFont="1" applyFill="1" applyAlignment="1">
      <alignment horizontal="center" vertical="center"/>
    </xf>
    <xf numFmtId="0" fontId="22" fillId="14" borderId="0" xfId="0" applyFont="1" applyFill="1" applyAlignment="1">
      <alignment horizontal="center" vertical="center"/>
    </xf>
    <xf numFmtId="176" fontId="23" fillId="14" borderId="0" xfId="0" applyNumberFormat="1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3" fontId="22" fillId="16" borderId="2" xfId="0" applyNumberFormat="1" applyFont="1" applyFill="1" applyBorder="1" applyAlignment="1">
      <alignment horizontal="center" vertical="center"/>
    </xf>
    <xf numFmtId="3" fontId="23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3" fontId="22" fillId="0" borderId="2" xfId="0" applyNumberFormat="1" applyFont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2" fillId="17" borderId="3" xfId="0" applyFont="1" applyFill="1" applyBorder="1" applyAlignment="1"/>
    <xf numFmtId="0" fontId="22" fillId="17" borderId="3" xfId="0" applyFont="1" applyFill="1" applyBorder="1" applyAlignment="1">
      <alignment horizontal="center" vertical="center"/>
    </xf>
    <xf numFmtId="3" fontId="22" fillId="17" borderId="3" xfId="0" applyNumberFormat="1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7"/>
  <sheetViews>
    <sheetView tabSelected="1" workbookViewId="0">
      <selection activeCell="J83" sqref="J83"/>
    </sheetView>
  </sheetViews>
  <sheetFormatPr defaultRowHeight="17.399999999999999"/>
  <sheetData>
    <row r="1" spans="1:12">
      <c r="A1" s="32" t="s">
        <v>151</v>
      </c>
      <c r="B1" s="31"/>
      <c r="C1" s="31"/>
      <c r="D1" s="31"/>
      <c r="E1" s="31"/>
      <c r="F1" s="31"/>
      <c r="G1" s="31"/>
      <c r="H1" s="31"/>
    </row>
    <row r="2" spans="1:12">
      <c r="A2" s="2" t="s">
        <v>152</v>
      </c>
      <c r="B2" s="3" t="s">
        <v>108</v>
      </c>
      <c r="C2" s="4" t="s">
        <v>43</v>
      </c>
      <c r="D2" s="5" t="s">
        <v>153</v>
      </c>
      <c r="E2" s="6" t="s">
        <v>154</v>
      </c>
      <c r="F2" s="7" t="s">
        <v>155</v>
      </c>
      <c r="G2" s="23" t="s">
        <v>5</v>
      </c>
      <c r="H2" s="2" t="s">
        <v>156</v>
      </c>
      <c r="I2" s="2" t="s">
        <v>157</v>
      </c>
    </row>
    <row r="3" spans="1:12">
      <c r="A3" s="9" t="s">
        <v>158</v>
      </c>
      <c r="B3" s="10">
        <v>56</v>
      </c>
      <c r="C3" s="10">
        <v>82</v>
      </c>
      <c r="D3" s="10">
        <v>6</v>
      </c>
      <c r="E3" s="10">
        <v>9</v>
      </c>
      <c r="F3" s="10">
        <v>34</v>
      </c>
      <c r="G3" s="10">
        <v>11</v>
      </c>
      <c r="H3" s="10">
        <v>198</v>
      </c>
      <c r="I3" s="10" t="s">
        <v>159</v>
      </c>
    </row>
    <row r="4" spans="1:12">
      <c r="A4" s="11" t="s">
        <v>157</v>
      </c>
      <c r="B4" s="26">
        <v>0.27835051546391748</v>
      </c>
      <c r="C4" s="26">
        <v>0.41237113402061848</v>
      </c>
      <c r="D4" s="26">
        <v>3.0927835051546389E-2</v>
      </c>
      <c r="E4" s="26">
        <v>4.6391752577319589E-2</v>
      </c>
      <c r="F4" s="26">
        <v>0.1752577319587629</v>
      </c>
      <c r="G4" s="26">
        <v>5.6701030927835051E-2</v>
      </c>
    </row>
    <row r="7" spans="1:12">
      <c r="A7" s="30" t="s">
        <v>160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</row>
    <row r="8" spans="1:12">
      <c r="A8" s="2" t="s">
        <v>161</v>
      </c>
      <c r="B8" s="2" t="s">
        <v>162</v>
      </c>
      <c r="C8" s="2" t="s">
        <v>163</v>
      </c>
      <c r="D8" s="2" t="s">
        <v>164</v>
      </c>
      <c r="E8" s="3" t="s">
        <v>108</v>
      </c>
      <c r="F8" s="4" t="s">
        <v>43</v>
      </c>
      <c r="G8" s="5" t="s">
        <v>153</v>
      </c>
      <c r="H8" s="6" t="s">
        <v>154</v>
      </c>
      <c r="I8" s="7" t="s">
        <v>155</v>
      </c>
      <c r="J8" s="8" t="s">
        <v>5</v>
      </c>
      <c r="K8" s="2" t="s">
        <v>165</v>
      </c>
      <c r="L8" s="2" t="s">
        <v>4</v>
      </c>
    </row>
    <row r="9" spans="1:12" ht="26.4" customHeight="1">
      <c r="A9" s="12" t="s">
        <v>166</v>
      </c>
      <c r="B9" s="13" t="s">
        <v>167</v>
      </c>
      <c r="C9" s="12" t="s">
        <v>88</v>
      </c>
      <c r="D9" s="13"/>
      <c r="E9" s="12">
        <v>1</v>
      </c>
      <c r="F9" s="12">
        <v>1</v>
      </c>
      <c r="G9" s="12">
        <v>0</v>
      </c>
      <c r="H9" s="12">
        <v>0</v>
      </c>
      <c r="I9" s="12">
        <v>0</v>
      </c>
      <c r="J9" s="12">
        <v>0</v>
      </c>
      <c r="K9" s="10">
        <v>2</v>
      </c>
      <c r="L9" s="14"/>
    </row>
    <row r="10" spans="1:12" ht="26.4" customHeight="1">
      <c r="A10" s="12" t="s">
        <v>166</v>
      </c>
      <c r="B10" s="13" t="s">
        <v>168</v>
      </c>
      <c r="C10" s="12" t="s">
        <v>81</v>
      </c>
      <c r="D10" s="13"/>
      <c r="E10" s="12">
        <v>1</v>
      </c>
      <c r="F10" s="12">
        <v>1</v>
      </c>
      <c r="G10" s="12">
        <v>0</v>
      </c>
      <c r="H10" s="12">
        <v>0</v>
      </c>
      <c r="I10" s="12">
        <v>1</v>
      </c>
      <c r="J10" s="12">
        <v>0</v>
      </c>
      <c r="K10" s="10">
        <v>3</v>
      </c>
      <c r="L10" s="14"/>
    </row>
    <row r="11" spans="1:12" ht="105.6" customHeight="1">
      <c r="A11" s="12" t="s">
        <v>166</v>
      </c>
      <c r="B11" s="13" t="s">
        <v>169</v>
      </c>
      <c r="C11" s="12" t="s">
        <v>81</v>
      </c>
      <c r="D11" s="13"/>
      <c r="E11" s="12">
        <v>1</v>
      </c>
      <c r="F11" s="12">
        <v>1</v>
      </c>
      <c r="G11" s="12">
        <v>0</v>
      </c>
      <c r="H11" s="12">
        <v>0</v>
      </c>
      <c r="I11" s="12">
        <v>1</v>
      </c>
      <c r="J11" s="12">
        <v>0</v>
      </c>
      <c r="K11" s="10">
        <v>3</v>
      </c>
    </row>
    <row r="12" spans="1:12" ht="26.4" customHeight="1">
      <c r="A12" s="15" t="s">
        <v>170</v>
      </c>
      <c r="B12" s="16"/>
      <c r="C12" s="16"/>
      <c r="D12" s="16"/>
      <c r="E12" s="15">
        <f t="shared" ref="E12:K12" si="0">SUM(E9:E11)</f>
        <v>3</v>
      </c>
      <c r="F12" s="15">
        <f t="shared" si="0"/>
        <v>3</v>
      </c>
      <c r="G12" s="15">
        <f t="shared" si="0"/>
        <v>0</v>
      </c>
      <c r="H12" s="15">
        <f t="shared" si="0"/>
        <v>0</v>
      </c>
      <c r="I12" s="15">
        <f t="shared" si="0"/>
        <v>2</v>
      </c>
      <c r="J12" s="15">
        <f t="shared" si="0"/>
        <v>0</v>
      </c>
      <c r="K12" s="15">
        <f t="shared" si="0"/>
        <v>8</v>
      </c>
      <c r="L12" s="16"/>
    </row>
    <row r="13" spans="1:12">
      <c r="E13" s="27">
        <v>0.375</v>
      </c>
      <c r="F13" s="27">
        <v>0.375</v>
      </c>
      <c r="G13" s="27">
        <v>0</v>
      </c>
      <c r="H13" s="27">
        <v>0</v>
      </c>
      <c r="I13" s="27">
        <v>0.25</v>
      </c>
      <c r="J13" s="27">
        <v>0</v>
      </c>
      <c r="K13" s="22">
        <v>1</v>
      </c>
    </row>
    <row r="14" spans="1:12" ht="26.4" customHeight="1">
      <c r="A14" s="12" t="s">
        <v>171</v>
      </c>
      <c r="B14" s="13" t="s">
        <v>172</v>
      </c>
      <c r="C14" s="12" t="s">
        <v>58</v>
      </c>
      <c r="D14" s="13"/>
      <c r="E14" s="12">
        <v>2</v>
      </c>
      <c r="F14" s="12">
        <v>4</v>
      </c>
      <c r="G14" s="12">
        <v>0</v>
      </c>
      <c r="H14" s="12">
        <v>0</v>
      </c>
      <c r="I14" s="12">
        <v>2</v>
      </c>
      <c r="J14" s="12">
        <v>0</v>
      </c>
      <c r="K14" s="10">
        <v>8</v>
      </c>
      <c r="L14" s="14"/>
    </row>
    <row r="15" spans="1:12" ht="39.6" customHeight="1">
      <c r="A15" s="12" t="s">
        <v>171</v>
      </c>
      <c r="B15" s="13" t="s">
        <v>173</v>
      </c>
      <c r="C15" s="12" t="s">
        <v>16</v>
      </c>
      <c r="D15" s="13"/>
      <c r="E15" s="12">
        <v>2</v>
      </c>
      <c r="F15" s="12">
        <v>2</v>
      </c>
      <c r="G15" s="12">
        <v>1</v>
      </c>
      <c r="H15" s="12">
        <v>1</v>
      </c>
      <c r="I15" s="12">
        <v>0</v>
      </c>
      <c r="J15" s="12">
        <v>0</v>
      </c>
      <c r="K15" s="10">
        <v>6</v>
      </c>
      <c r="L15" s="14"/>
    </row>
    <row r="16" spans="1:12" ht="39.6" customHeight="1">
      <c r="A16" s="12" t="s">
        <v>171</v>
      </c>
      <c r="B16" s="13" t="s">
        <v>174</v>
      </c>
      <c r="C16" s="12" t="s">
        <v>19</v>
      </c>
      <c r="D16" s="13"/>
      <c r="E16" s="12">
        <v>1</v>
      </c>
      <c r="F16" s="12">
        <v>2</v>
      </c>
      <c r="G16" s="12">
        <v>0</v>
      </c>
      <c r="H16" s="12">
        <v>1</v>
      </c>
      <c r="I16" s="12">
        <v>1</v>
      </c>
      <c r="J16" s="12">
        <v>0</v>
      </c>
      <c r="K16" s="10">
        <v>5</v>
      </c>
      <c r="L16" s="14"/>
    </row>
    <row r="17" spans="1:13" ht="26.4" customHeight="1">
      <c r="A17" s="12" t="s">
        <v>171</v>
      </c>
      <c r="B17" s="13" t="s">
        <v>175</v>
      </c>
      <c r="C17" s="12" t="s">
        <v>132</v>
      </c>
      <c r="D17" s="13"/>
      <c r="E17" s="12">
        <v>1</v>
      </c>
      <c r="F17" s="12">
        <v>1</v>
      </c>
      <c r="G17" s="12">
        <v>0</v>
      </c>
      <c r="H17" s="12">
        <v>0</v>
      </c>
      <c r="I17" s="12">
        <v>1</v>
      </c>
      <c r="J17" s="12">
        <v>0</v>
      </c>
      <c r="K17" s="10">
        <v>3</v>
      </c>
      <c r="L17" s="14"/>
    </row>
    <row r="18" spans="1:13" ht="39.6" customHeight="1">
      <c r="A18" s="12" t="s">
        <v>171</v>
      </c>
      <c r="B18" s="13" t="s">
        <v>176</v>
      </c>
      <c r="C18" s="12" t="s">
        <v>32</v>
      </c>
      <c r="D18" s="13"/>
      <c r="E18" s="12">
        <v>2</v>
      </c>
      <c r="F18" s="12">
        <v>3</v>
      </c>
      <c r="G18" s="12">
        <v>0</v>
      </c>
      <c r="H18" s="12">
        <v>0</v>
      </c>
      <c r="I18" s="12">
        <v>1</v>
      </c>
      <c r="J18" s="12">
        <v>0</v>
      </c>
      <c r="K18" s="10">
        <v>6</v>
      </c>
      <c r="L18" s="14"/>
    </row>
    <row r="19" spans="1:13" ht="39.6" customHeight="1">
      <c r="A19" s="12" t="s">
        <v>171</v>
      </c>
      <c r="B19" s="13" t="s">
        <v>177</v>
      </c>
      <c r="C19" s="12" t="s">
        <v>35</v>
      </c>
      <c r="D19" s="13"/>
      <c r="E19" s="12">
        <v>1</v>
      </c>
      <c r="F19" s="12">
        <v>2</v>
      </c>
      <c r="G19" s="12">
        <v>0</v>
      </c>
      <c r="H19" s="12">
        <v>1</v>
      </c>
      <c r="I19" s="12">
        <v>0</v>
      </c>
      <c r="J19" s="12">
        <v>0</v>
      </c>
      <c r="K19" s="10">
        <v>4</v>
      </c>
      <c r="L19" s="14"/>
    </row>
    <row r="20" spans="1:13" ht="39.6" customHeight="1">
      <c r="A20" s="12" t="s">
        <v>171</v>
      </c>
      <c r="B20" s="13" t="s">
        <v>178</v>
      </c>
      <c r="C20" s="12" t="s">
        <v>136</v>
      </c>
      <c r="D20" s="13"/>
      <c r="E20" s="12">
        <v>1</v>
      </c>
      <c r="F20" s="12">
        <v>2</v>
      </c>
      <c r="G20" s="12">
        <v>0</v>
      </c>
      <c r="H20" s="12">
        <v>0</v>
      </c>
      <c r="I20" s="12">
        <v>1</v>
      </c>
      <c r="J20" s="12">
        <v>0</v>
      </c>
      <c r="K20" s="10">
        <v>4</v>
      </c>
      <c r="L20" s="14"/>
    </row>
    <row r="21" spans="1:13" ht="26.4" customHeight="1">
      <c r="A21" s="12" t="s">
        <v>171</v>
      </c>
      <c r="B21" s="13" t="s">
        <v>179</v>
      </c>
      <c r="C21" s="12" t="s">
        <v>76</v>
      </c>
      <c r="D21" s="13"/>
      <c r="E21" s="12">
        <v>2</v>
      </c>
      <c r="F21" s="12">
        <v>3</v>
      </c>
      <c r="G21" s="12">
        <v>1</v>
      </c>
      <c r="H21" s="12">
        <v>0</v>
      </c>
      <c r="I21" s="12">
        <v>1</v>
      </c>
      <c r="J21" s="12">
        <v>0</v>
      </c>
      <c r="K21" s="10">
        <v>7</v>
      </c>
      <c r="L21" s="14"/>
    </row>
    <row r="22" spans="1:13" ht="26.4" customHeight="1">
      <c r="A22" s="12" t="s">
        <v>171</v>
      </c>
      <c r="B22" s="13" t="s">
        <v>180</v>
      </c>
      <c r="C22" s="12" t="s">
        <v>99</v>
      </c>
      <c r="D22" s="13"/>
      <c r="E22" s="12">
        <v>1</v>
      </c>
      <c r="F22" s="12">
        <v>2</v>
      </c>
      <c r="G22" s="12">
        <v>0</v>
      </c>
      <c r="H22" s="12">
        <v>0</v>
      </c>
      <c r="I22" s="12">
        <v>1</v>
      </c>
      <c r="J22" s="12">
        <v>0</v>
      </c>
      <c r="K22" s="10">
        <v>4</v>
      </c>
      <c r="L22" s="14"/>
    </row>
    <row r="23" spans="1:13" ht="26.4" customHeight="1">
      <c r="A23" s="12" t="s">
        <v>171</v>
      </c>
      <c r="B23" s="13" t="s">
        <v>181</v>
      </c>
      <c r="C23" s="12" t="s">
        <v>138</v>
      </c>
      <c r="D23" s="13"/>
      <c r="E23" s="12">
        <v>0</v>
      </c>
      <c r="F23" s="12">
        <v>1</v>
      </c>
      <c r="G23" s="12">
        <v>0</v>
      </c>
      <c r="H23" s="12">
        <v>0</v>
      </c>
      <c r="I23" s="12">
        <v>1</v>
      </c>
      <c r="J23" s="12">
        <v>0</v>
      </c>
      <c r="K23" s="10">
        <v>2</v>
      </c>
      <c r="L23" s="14"/>
    </row>
    <row r="24" spans="1:13" ht="26.4" customHeight="1">
      <c r="A24" s="12" t="s">
        <v>171</v>
      </c>
      <c r="B24" s="13" t="s">
        <v>182</v>
      </c>
      <c r="C24" s="12" t="s">
        <v>50</v>
      </c>
      <c r="D24" s="13"/>
      <c r="E24" s="12">
        <v>0</v>
      </c>
      <c r="F24" s="12">
        <v>2</v>
      </c>
      <c r="G24" s="12">
        <v>0</v>
      </c>
      <c r="H24" s="12">
        <v>1</v>
      </c>
      <c r="I24" s="12">
        <v>1</v>
      </c>
      <c r="J24" s="12">
        <v>0</v>
      </c>
      <c r="K24" s="10">
        <v>4</v>
      </c>
      <c r="L24" s="14"/>
    </row>
    <row r="25" spans="1:13" ht="26.4" customHeight="1">
      <c r="A25" s="12" t="s">
        <v>171</v>
      </c>
      <c r="B25" s="17" t="s">
        <v>183</v>
      </c>
      <c r="C25" s="12" t="s">
        <v>184</v>
      </c>
      <c r="D25" s="13"/>
      <c r="E25" s="12">
        <v>1</v>
      </c>
      <c r="F25" s="12">
        <v>2</v>
      </c>
      <c r="G25" s="12">
        <v>0</v>
      </c>
      <c r="H25" s="12">
        <v>0</v>
      </c>
      <c r="I25" s="12">
        <v>1</v>
      </c>
      <c r="J25" s="12">
        <v>0</v>
      </c>
      <c r="K25" s="10">
        <v>4</v>
      </c>
      <c r="L25" s="14"/>
    </row>
    <row r="26" spans="1:13" ht="39.6" customHeight="1">
      <c r="A26" s="12" t="s">
        <v>171</v>
      </c>
      <c r="B26" s="13" t="s">
        <v>185</v>
      </c>
      <c r="C26" s="12" t="s">
        <v>101</v>
      </c>
      <c r="D26" s="13"/>
      <c r="E26" s="12">
        <v>1</v>
      </c>
      <c r="F26" s="12">
        <v>2</v>
      </c>
      <c r="G26" s="12">
        <v>0</v>
      </c>
      <c r="H26" s="12">
        <v>0</v>
      </c>
      <c r="I26" s="12">
        <v>0</v>
      </c>
      <c r="J26" s="12">
        <v>0</v>
      </c>
      <c r="K26" s="10">
        <v>3</v>
      </c>
    </row>
    <row r="27" spans="1:13" ht="79.2" customHeight="1">
      <c r="A27" s="12" t="s">
        <v>171</v>
      </c>
      <c r="B27" s="13" t="s">
        <v>106</v>
      </c>
      <c r="C27" s="12" t="s">
        <v>19</v>
      </c>
      <c r="D27" s="13" t="s">
        <v>186</v>
      </c>
      <c r="E27" s="12">
        <v>2</v>
      </c>
      <c r="F27" s="12">
        <v>2</v>
      </c>
      <c r="G27" s="12">
        <v>0</v>
      </c>
      <c r="H27" s="12">
        <v>0</v>
      </c>
      <c r="I27" s="12">
        <v>0</v>
      </c>
      <c r="J27" s="12">
        <v>2</v>
      </c>
      <c r="K27" s="10">
        <v>6</v>
      </c>
    </row>
    <row r="28" spans="1:13" ht="26.4" customHeight="1">
      <c r="A28" s="15" t="s">
        <v>187</v>
      </c>
      <c r="B28" s="16"/>
      <c r="C28" s="16"/>
      <c r="D28" s="16"/>
      <c r="E28" s="15">
        <f t="shared" ref="E28:K28" si="1">SUM(E14:E27)</f>
        <v>17</v>
      </c>
      <c r="F28" s="15">
        <f t="shared" si="1"/>
        <v>30</v>
      </c>
      <c r="G28" s="15">
        <f t="shared" si="1"/>
        <v>2</v>
      </c>
      <c r="H28" s="15">
        <f t="shared" si="1"/>
        <v>4</v>
      </c>
      <c r="I28" s="15">
        <f t="shared" si="1"/>
        <v>11</v>
      </c>
      <c r="J28" s="15">
        <f t="shared" si="1"/>
        <v>2</v>
      </c>
      <c r="K28" s="15">
        <f t="shared" si="1"/>
        <v>66</v>
      </c>
      <c r="L28" s="16"/>
    </row>
    <row r="29" spans="1:13">
      <c r="E29" s="27">
        <v>0.2424242424242424</v>
      </c>
      <c r="F29" s="27">
        <v>0.43939393939393939</v>
      </c>
      <c r="G29" s="27">
        <v>3.03030303030303E-2</v>
      </c>
      <c r="H29" s="27">
        <v>6.0606060606060608E-2</v>
      </c>
      <c r="I29" s="27">
        <v>0.16666666666666671</v>
      </c>
      <c r="J29" s="27">
        <v>6.0606060606060608E-2</v>
      </c>
      <c r="K29" s="22">
        <v>1</v>
      </c>
      <c r="M29" s="28"/>
    </row>
    <row r="30" spans="1:13" ht="39.6" customHeight="1">
      <c r="A30" s="12" t="s">
        <v>188</v>
      </c>
      <c r="B30" s="13" t="s">
        <v>189</v>
      </c>
      <c r="C30" s="12" t="s">
        <v>24</v>
      </c>
      <c r="D30" s="13"/>
      <c r="E30" s="12">
        <v>1</v>
      </c>
      <c r="F30" s="12">
        <v>1</v>
      </c>
      <c r="G30" s="12">
        <v>0</v>
      </c>
      <c r="H30" s="12">
        <v>0</v>
      </c>
      <c r="I30" s="12">
        <v>1</v>
      </c>
      <c r="J30" s="12">
        <v>0</v>
      </c>
      <c r="K30" s="10">
        <v>3</v>
      </c>
      <c r="L30" s="14"/>
    </row>
    <row r="31" spans="1:13" ht="66" customHeight="1">
      <c r="A31" s="12" t="s">
        <v>188</v>
      </c>
      <c r="B31" s="13" t="s">
        <v>122</v>
      </c>
      <c r="C31" s="12" t="s">
        <v>121</v>
      </c>
      <c r="D31" s="18"/>
      <c r="E31" s="12">
        <v>1</v>
      </c>
      <c r="F31" s="12">
        <v>1</v>
      </c>
      <c r="G31" s="12">
        <v>0</v>
      </c>
      <c r="H31" s="12">
        <v>0</v>
      </c>
      <c r="I31" s="12">
        <v>1</v>
      </c>
      <c r="J31" s="12">
        <v>2</v>
      </c>
      <c r="K31" s="10">
        <v>5</v>
      </c>
      <c r="L31" s="14"/>
    </row>
    <row r="32" spans="1:13" ht="26.4" customHeight="1">
      <c r="A32" s="15" t="s">
        <v>190</v>
      </c>
      <c r="B32" s="16"/>
      <c r="C32" s="16"/>
      <c r="D32" s="16"/>
      <c r="E32" s="15">
        <f t="shared" ref="E32:K32" si="2">SUM(E30:E31)</f>
        <v>2</v>
      </c>
      <c r="F32" s="15">
        <f t="shared" si="2"/>
        <v>2</v>
      </c>
      <c r="G32" s="15">
        <f t="shared" si="2"/>
        <v>0</v>
      </c>
      <c r="H32" s="15">
        <f t="shared" si="2"/>
        <v>0</v>
      </c>
      <c r="I32" s="15">
        <f t="shared" si="2"/>
        <v>2</v>
      </c>
      <c r="J32" s="15">
        <f t="shared" si="2"/>
        <v>2</v>
      </c>
      <c r="K32" s="15">
        <f t="shared" si="2"/>
        <v>8</v>
      </c>
      <c r="L32" s="16"/>
    </row>
    <row r="33" spans="1:12">
      <c r="E33" s="27">
        <v>0.25</v>
      </c>
      <c r="F33" s="27">
        <v>0.25</v>
      </c>
      <c r="G33" s="27">
        <v>0</v>
      </c>
      <c r="H33" s="27">
        <v>0</v>
      </c>
      <c r="I33" s="27">
        <v>0.25</v>
      </c>
      <c r="J33" s="27">
        <v>0.25</v>
      </c>
      <c r="K33" s="22">
        <v>1</v>
      </c>
    </row>
    <row r="34" spans="1:12" ht="26.4" customHeight="1">
      <c r="A34" s="19" t="s">
        <v>191</v>
      </c>
      <c r="B34" s="20" t="s">
        <v>192</v>
      </c>
      <c r="C34" s="19" t="s">
        <v>142</v>
      </c>
      <c r="D34" s="21" t="s">
        <v>193</v>
      </c>
      <c r="E34" s="14">
        <v>0</v>
      </c>
      <c r="F34" s="14">
        <v>2</v>
      </c>
      <c r="G34" s="14">
        <v>0</v>
      </c>
      <c r="H34" s="14">
        <v>0</v>
      </c>
      <c r="I34" s="14">
        <v>0</v>
      </c>
      <c r="J34" s="14">
        <v>2</v>
      </c>
      <c r="K34" s="10">
        <v>0</v>
      </c>
      <c r="L34" s="19" t="s">
        <v>194</v>
      </c>
    </row>
    <row r="35" spans="1:12" ht="26.4" customHeight="1">
      <c r="A35" s="12" t="s">
        <v>191</v>
      </c>
      <c r="B35" s="13" t="s">
        <v>195</v>
      </c>
      <c r="C35" s="12" t="s">
        <v>136</v>
      </c>
      <c r="D35" s="13"/>
      <c r="E35" s="12">
        <v>1</v>
      </c>
      <c r="F35" s="12">
        <v>1</v>
      </c>
      <c r="G35" s="12">
        <v>0</v>
      </c>
      <c r="H35" s="12">
        <v>0</v>
      </c>
      <c r="I35" s="12">
        <v>0</v>
      </c>
      <c r="J35" s="12">
        <v>0</v>
      </c>
      <c r="K35" s="10">
        <v>2</v>
      </c>
      <c r="L35" s="14"/>
    </row>
    <row r="36" spans="1:12" ht="26.4" customHeight="1">
      <c r="A36" t="s">
        <v>191</v>
      </c>
      <c r="B36" t="s">
        <v>196</v>
      </c>
      <c r="C36" t="s">
        <v>36</v>
      </c>
      <c r="E36">
        <v>1</v>
      </c>
      <c r="F36">
        <v>1</v>
      </c>
      <c r="J36">
        <v>2</v>
      </c>
      <c r="K36">
        <v>4</v>
      </c>
    </row>
    <row r="37" spans="1:12" ht="26.4">
      <c r="A37" s="15" t="s">
        <v>197</v>
      </c>
      <c r="B37" s="16"/>
      <c r="C37" s="16"/>
      <c r="D37" s="16"/>
      <c r="E37" s="15">
        <f>SUM(E35:E36)</f>
        <v>2</v>
      </c>
      <c r="F37" s="15">
        <f>SUM(F35:F36)</f>
        <v>2</v>
      </c>
      <c r="G37" s="15">
        <f>SUM(G33:G34)-G33</f>
        <v>0</v>
      </c>
      <c r="H37" s="15">
        <f>SUM(H33:H34)-H33</f>
        <v>0</v>
      </c>
      <c r="I37" s="15">
        <f>SUM(I33:I34)-I33</f>
        <v>0</v>
      </c>
      <c r="J37" s="15">
        <f>SUM(J35:J36)</f>
        <v>2</v>
      </c>
      <c r="K37" s="15">
        <f>SUM(K35:K36)</f>
        <v>6</v>
      </c>
      <c r="L37" s="16"/>
    </row>
    <row r="38" spans="1:12" ht="26.4" customHeight="1">
      <c r="E38" s="27">
        <v>0.5</v>
      </c>
      <c r="F38" s="27">
        <v>0.5</v>
      </c>
      <c r="G38" s="27">
        <v>0</v>
      </c>
      <c r="H38" s="27">
        <v>0</v>
      </c>
      <c r="I38" s="27">
        <v>0</v>
      </c>
      <c r="J38" s="27">
        <v>0</v>
      </c>
      <c r="K38" s="22">
        <v>1</v>
      </c>
    </row>
    <row r="39" spans="1:12" ht="52.95" customHeight="1">
      <c r="A39" s="12" t="s">
        <v>198</v>
      </c>
      <c r="B39" s="13" t="s">
        <v>199</v>
      </c>
      <c r="C39" s="12" t="s">
        <v>200</v>
      </c>
      <c r="D39" s="13"/>
      <c r="E39" s="12">
        <v>1</v>
      </c>
      <c r="F39" s="12">
        <v>1</v>
      </c>
      <c r="G39" s="12">
        <v>0</v>
      </c>
      <c r="H39" s="12">
        <v>1</v>
      </c>
      <c r="I39" s="12">
        <v>0</v>
      </c>
      <c r="J39" s="12">
        <v>0</v>
      </c>
      <c r="K39" s="10">
        <v>3</v>
      </c>
      <c r="L39" s="14"/>
    </row>
    <row r="40" spans="1:12" ht="52.95" customHeight="1">
      <c r="A40" s="12" t="s">
        <v>198</v>
      </c>
      <c r="B40" s="13" t="s">
        <v>201</v>
      </c>
      <c r="C40" s="12" t="s">
        <v>93</v>
      </c>
      <c r="D40" s="13"/>
      <c r="E40" s="12">
        <v>1</v>
      </c>
      <c r="F40" s="12">
        <v>1</v>
      </c>
      <c r="G40" s="12">
        <v>0</v>
      </c>
      <c r="H40" s="12">
        <v>0</v>
      </c>
      <c r="I40" s="12">
        <v>0</v>
      </c>
      <c r="J40" s="12">
        <v>0</v>
      </c>
      <c r="K40" s="10">
        <v>2</v>
      </c>
      <c r="L40" s="14"/>
    </row>
    <row r="41" spans="1:12" ht="26.4" customHeight="1">
      <c r="A41" s="12" t="s">
        <v>198</v>
      </c>
      <c r="B41" s="13" t="s">
        <v>202</v>
      </c>
      <c r="C41" s="12" t="s">
        <v>101</v>
      </c>
      <c r="D41" s="13"/>
      <c r="E41" s="12">
        <v>1</v>
      </c>
      <c r="F41" s="12">
        <v>1</v>
      </c>
      <c r="G41" s="12">
        <v>0</v>
      </c>
      <c r="H41" s="12">
        <v>0</v>
      </c>
      <c r="I41" s="12">
        <v>0</v>
      </c>
      <c r="J41" s="12">
        <v>0</v>
      </c>
      <c r="K41" s="10">
        <v>2</v>
      </c>
      <c r="L41" s="14"/>
    </row>
    <row r="42" spans="1:12" ht="26.4" customHeight="1">
      <c r="A42" s="12" t="s">
        <v>198</v>
      </c>
      <c r="B42" s="13" t="s">
        <v>203</v>
      </c>
      <c r="C42" s="12" t="s">
        <v>27</v>
      </c>
      <c r="D42" s="13"/>
      <c r="E42" s="12">
        <v>1</v>
      </c>
      <c r="F42" s="12">
        <v>1</v>
      </c>
      <c r="G42" s="12">
        <v>0</v>
      </c>
      <c r="H42" s="12">
        <v>0</v>
      </c>
      <c r="I42" s="12">
        <v>2</v>
      </c>
      <c r="J42" s="12">
        <v>0</v>
      </c>
      <c r="K42" s="10">
        <v>4</v>
      </c>
      <c r="L42" s="14"/>
    </row>
    <row r="43" spans="1:12" ht="66" customHeight="1">
      <c r="A43" s="12" t="s">
        <v>198</v>
      </c>
      <c r="B43" s="13" t="s">
        <v>204</v>
      </c>
      <c r="C43" s="12" t="s">
        <v>112</v>
      </c>
      <c r="D43" s="21"/>
      <c r="E43" s="12">
        <v>0</v>
      </c>
      <c r="F43" s="12">
        <v>2</v>
      </c>
      <c r="G43" s="12">
        <v>0</v>
      </c>
      <c r="H43" s="12">
        <v>0</v>
      </c>
      <c r="I43" s="12">
        <v>1</v>
      </c>
      <c r="J43" s="12">
        <v>0</v>
      </c>
      <c r="K43" s="10">
        <v>3</v>
      </c>
      <c r="L43" s="14"/>
    </row>
    <row r="44" spans="1:12" ht="39.6" customHeight="1">
      <c r="A44" s="12" t="s">
        <v>198</v>
      </c>
      <c r="B44" s="13" t="s">
        <v>205</v>
      </c>
      <c r="C44" s="12" t="s">
        <v>50</v>
      </c>
      <c r="D44" s="13"/>
      <c r="E44" s="12">
        <v>1</v>
      </c>
      <c r="F44" s="12">
        <v>2</v>
      </c>
      <c r="G44" s="12">
        <v>0</v>
      </c>
      <c r="H44" s="12">
        <v>0</v>
      </c>
      <c r="I44" s="12">
        <v>2</v>
      </c>
      <c r="J44" s="12">
        <v>0</v>
      </c>
      <c r="K44" s="10">
        <v>5</v>
      </c>
      <c r="L44" s="14"/>
    </row>
    <row r="45" spans="1:12" ht="52.95" customHeight="1">
      <c r="A45" s="12" t="s">
        <v>198</v>
      </c>
      <c r="B45" s="13" t="s">
        <v>75</v>
      </c>
      <c r="C45" s="12" t="s">
        <v>74</v>
      </c>
      <c r="D45" s="13"/>
      <c r="E45" s="12">
        <v>1</v>
      </c>
      <c r="F45" s="12">
        <v>1</v>
      </c>
      <c r="G45" s="12">
        <v>0</v>
      </c>
      <c r="H45" s="12">
        <v>0</v>
      </c>
      <c r="I45" s="12">
        <v>0</v>
      </c>
      <c r="J45" s="12">
        <v>0</v>
      </c>
      <c r="K45" s="10">
        <v>2</v>
      </c>
      <c r="L45" s="14"/>
    </row>
    <row r="46" spans="1:12" ht="26.4" customHeight="1">
      <c r="A46" s="12" t="s">
        <v>198</v>
      </c>
      <c r="B46" s="13" t="s">
        <v>206</v>
      </c>
      <c r="C46" s="12" t="s">
        <v>65</v>
      </c>
      <c r="D46" s="13" t="s">
        <v>186</v>
      </c>
      <c r="E46" s="12">
        <v>1</v>
      </c>
      <c r="F46" s="12">
        <v>1</v>
      </c>
      <c r="G46" s="12">
        <v>0</v>
      </c>
      <c r="H46" s="12">
        <v>0</v>
      </c>
      <c r="I46" s="12">
        <v>0</v>
      </c>
      <c r="J46" s="12">
        <v>2</v>
      </c>
      <c r="K46" s="10">
        <v>4</v>
      </c>
      <c r="L46" s="14"/>
    </row>
    <row r="47" spans="1:12" ht="26.4">
      <c r="A47" s="15" t="s">
        <v>207</v>
      </c>
      <c r="B47" s="16"/>
      <c r="C47" s="16"/>
      <c r="D47" s="16"/>
      <c r="E47" s="15">
        <v>7</v>
      </c>
      <c r="F47" s="15">
        <v>10</v>
      </c>
      <c r="G47" s="15">
        <f>SUM(G37:G44)</f>
        <v>0</v>
      </c>
      <c r="H47" s="15">
        <f>SUM(H37:H44)</f>
        <v>1</v>
      </c>
      <c r="I47" s="15">
        <f>SUM(I37:I44)</f>
        <v>5</v>
      </c>
      <c r="J47" s="15">
        <v>2</v>
      </c>
      <c r="K47" s="15">
        <v>25</v>
      </c>
      <c r="L47" s="16"/>
    </row>
    <row r="48" spans="1:12" ht="26.4" customHeight="1">
      <c r="E48" s="27">
        <v>0.28000000000000003</v>
      </c>
      <c r="F48" s="27">
        <v>0.4</v>
      </c>
      <c r="G48" s="27">
        <v>0</v>
      </c>
      <c r="H48" s="27">
        <v>0.04</v>
      </c>
      <c r="I48" s="27">
        <v>0.2</v>
      </c>
      <c r="J48" s="27">
        <v>0.08</v>
      </c>
      <c r="K48" s="22">
        <v>1</v>
      </c>
    </row>
    <row r="49" spans="1:12" ht="26.4" customHeight="1">
      <c r="A49" s="12" t="s">
        <v>208</v>
      </c>
      <c r="B49" s="13" t="s">
        <v>209</v>
      </c>
      <c r="C49" s="12" t="s">
        <v>60</v>
      </c>
      <c r="D49" s="13"/>
      <c r="E49" s="12">
        <v>2</v>
      </c>
      <c r="F49" s="12">
        <v>3</v>
      </c>
      <c r="G49" s="12">
        <v>1</v>
      </c>
      <c r="H49" s="12">
        <v>0</v>
      </c>
      <c r="I49" s="12">
        <v>1</v>
      </c>
      <c r="J49" s="12">
        <v>0</v>
      </c>
      <c r="K49" s="10">
        <v>7</v>
      </c>
      <c r="L49" s="14"/>
    </row>
    <row r="50" spans="1:12" ht="26.4" customHeight="1">
      <c r="A50" s="12" t="s">
        <v>208</v>
      </c>
      <c r="B50" s="13" t="s">
        <v>210</v>
      </c>
      <c r="C50" s="12" t="s">
        <v>211</v>
      </c>
      <c r="D50" s="21" t="s">
        <v>212</v>
      </c>
      <c r="E50" s="12">
        <v>3</v>
      </c>
      <c r="F50" s="12">
        <v>4</v>
      </c>
      <c r="G50" s="12">
        <v>0</v>
      </c>
      <c r="H50" s="12">
        <v>0</v>
      </c>
      <c r="I50" s="12">
        <v>1</v>
      </c>
      <c r="J50" s="12">
        <v>0</v>
      </c>
      <c r="K50" s="10">
        <v>8</v>
      </c>
      <c r="L50" s="14"/>
    </row>
    <row r="51" spans="1:12" ht="26.4" customHeight="1">
      <c r="A51" s="12" t="s">
        <v>208</v>
      </c>
      <c r="B51" s="13" t="s">
        <v>213</v>
      </c>
      <c r="C51" s="12" t="s">
        <v>50</v>
      </c>
      <c r="D51" s="21"/>
      <c r="E51" s="12">
        <v>1</v>
      </c>
      <c r="F51" s="12">
        <v>1</v>
      </c>
      <c r="G51" s="12">
        <v>0</v>
      </c>
      <c r="H51" s="12">
        <v>0</v>
      </c>
      <c r="I51" s="12">
        <v>0</v>
      </c>
      <c r="J51" s="12">
        <v>0</v>
      </c>
      <c r="K51" s="10">
        <v>2</v>
      </c>
      <c r="L51" s="14"/>
    </row>
    <row r="52" spans="1:12" ht="66" customHeight="1">
      <c r="A52" s="12" t="s">
        <v>208</v>
      </c>
      <c r="B52" s="13" t="s">
        <v>214</v>
      </c>
      <c r="C52" s="12" t="s">
        <v>44</v>
      </c>
      <c r="D52" s="13"/>
      <c r="E52" s="12">
        <v>1</v>
      </c>
      <c r="F52" s="12">
        <v>2</v>
      </c>
      <c r="G52" s="12">
        <v>1</v>
      </c>
      <c r="H52" s="12">
        <v>1</v>
      </c>
      <c r="I52" s="12">
        <v>1</v>
      </c>
      <c r="J52" s="12">
        <v>0</v>
      </c>
      <c r="K52" s="10">
        <v>6</v>
      </c>
      <c r="L52" s="14"/>
    </row>
    <row r="53" spans="1:12" ht="26.4" customHeight="1">
      <c r="A53" s="12" t="s">
        <v>208</v>
      </c>
      <c r="B53" s="13" t="s">
        <v>215</v>
      </c>
      <c r="C53" s="12" t="s">
        <v>16</v>
      </c>
      <c r="D53" s="13"/>
      <c r="E53" s="12">
        <v>1</v>
      </c>
      <c r="F53" s="12">
        <v>3</v>
      </c>
      <c r="G53" s="12">
        <v>0</v>
      </c>
      <c r="H53" s="12">
        <v>0</v>
      </c>
      <c r="I53" s="12">
        <v>1</v>
      </c>
      <c r="J53" s="12">
        <v>0</v>
      </c>
      <c r="K53" s="10">
        <v>5</v>
      </c>
      <c r="L53" s="14"/>
    </row>
    <row r="54" spans="1:12" ht="66" customHeight="1">
      <c r="A54" s="12" t="s">
        <v>208</v>
      </c>
      <c r="B54" s="13" t="s">
        <v>216</v>
      </c>
      <c r="C54" s="12" t="s">
        <v>63</v>
      </c>
      <c r="D54" s="13"/>
      <c r="E54" s="12">
        <v>1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0">
        <v>1</v>
      </c>
      <c r="L54" s="14"/>
    </row>
    <row r="55" spans="1:12" ht="66" customHeight="1">
      <c r="A55" s="12" t="s">
        <v>208</v>
      </c>
      <c r="B55" s="13" t="s">
        <v>217</v>
      </c>
      <c r="C55" s="12" t="s">
        <v>44</v>
      </c>
      <c r="D55" s="13"/>
      <c r="E55" s="12">
        <v>1</v>
      </c>
      <c r="F55" s="12">
        <v>2</v>
      </c>
      <c r="G55" s="12">
        <v>0</v>
      </c>
      <c r="H55" s="12">
        <v>0</v>
      </c>
      <c r="I55" s="12">
        <v>1</v>
      </c>
      <c r="J55" s="12">
        <v>0</v>
      </c>
      <c r="K55" s="10">
        <v>4</v>
      </c>
      <c r="L55" s="14"/>
    </row>
    <row r="56" spans="1:12" ht="26.4" customHeight="1">
      <c r="A56" s="12" t="s">
        <v>208</v>
      </c>
      <c r="B56" s="13" t="s">
        <v>218</v>
      </c>
      <c r="C56" s="12" t="s">
        <v>58</v>
      </c>
      <c r="D56" s="13"/>
      <c r="E56" s="12">
        <v>1</v>
      </c>
      <c r="F56" s="12">
        <v>2</v>
      </c>
      <c r="G56" s="12">
        <v>0</v>
      </c>
      <c r="H56" s="12">
        <v>0</v>
      </c>
      <c r="I56" s="12">
        <v>1</v>
      </c>
      <c r="J56" s="12">
        <v>0</v>
      </c>
      <c r="K56" s="10">
        <v>4</v>
      </c>
    </row>
    <row r="57" spans="1:12" ht="26.4">
      <c r="A57" s="15" t="s">
        <v>219</v>
      </c>
      <c r="B57" s="16"/>
      <c r="C57" s="16"/>
      <c r="D57" s="16"/>
      <c r="E57" s="15">
        <v>11</v>
      </c>
      <c r="F57" s="15">
        <v>17</v>
      </c>
      <c r="G57" s="15">
        <v>2</v>
      </c>
      <c r="H57" s="15">
        <v>1</v>
      </c>
      <c r="I57" s="15">
        <v>6</v>
      </c>
      <c r="J57" s="15">
        <v>0</v>
      </c>
      <c r="K57" s="15">
        <v>37</v>
      </c>
      <c r="L57" s="16"/>
    </row>
    <row r="58" spans="1:12" ht="39.6" customHeight="1">
      <c r="E58" s="27">
        <v>0.29729729729729731</v>
      </c>
      <c r="F58" s="27">
        <v>0.45945945945945948</v>
      </c>
      <c r="G58" s="27">
        <v>5.4054054054054057E-2</v>
      </c>
      <c r="H58" s="27">
        <v>2.7027027027027029E-2</v>
      </c>
      <c r="I58" s="27">
        <v>0.1621621621621622</v>
      </c>
      <c r="J58" s="27">
        <v>0</v>
      </c>
      <c r="K58" s="22">
        <v>1</v>
      </c>
    </row>
    <row r="59" spans="1:12" ht="39.6" customHeight="1">
      <c r="A59" s="12" t="s">
        <v>220</v>
      </c>
      <c r="B59" s="13" t="s">
        <v>221</v>
      </c>
      <c r="C59" s="12" t="s">
        <v>65</v>
      </c>
      <c r="D59" s="13"/>
      <c r="E59" s="12">
        <v>1</v>
      </c>
      <c r="F59" s="12">
        <v>2</v>
      </c>
      <c r="G59" s="12">
        <v>0</v>
      </c>
      <c r="H59" s="12">
        <v>0</v>
      </c>
      <c r="I59" s="12">
        <v>1</v>
      </c>
      <c r="J59" s="12">
        <v>0</v>
      </c>
      <c r="K59" s="10">
        <v>4</v>
      </c>
      <c r="L59" s="14"/>
    </row>
    <row r="60" spans="1:12" ht="52.95" customHeight="1">
      <c r="A60" s="12" t="s">
        <v>220</v>
      </c>
      <c r="B60" s="13" t="s">
        <v>222</v>
      </c>
      <c r="C60" s="12" t="s">
        <v>44</v>
      </c>
      <c r="D60" s="13"/>
      <c r="E60" s="12">
        <v>2</v>
      </c>
      <c r="F60" s="12">
        <v>1</v>
      </c>
      <c r="G60" s="12">
        <v>0</v>
      </c>
      <c r="H60" s="12">
        <v>1</v>
      </c>
      <c r="I60" s="12">
        <v>0</v>
      </c>
      <c r="J60" s="12">
        <v>0</v>
      </c>
      <c r="K60" s="10">
        <v>4</v>
      </c>
      <c r="L60" s="14"/>
    </row>
    <row r="61" spans="1:12" ht="26.4" customHeight="1">
      <c r="A61" s="12" t="s">
        <v>220</v>
      </c>
      <c r="B61" s="13" t="s">
        <v>223</v>
      </c>
      <c r="C61" s="12" t="s">
        <v>9</v>
      </c>
      <c r="D61" s="13"/>
      <c r="E61" s="12">
        <v>1</v>
      </c>
      <c r="F61" s="12">
        <v>2</v>
      </c>
      <c r="G61" s="12">
        <v>0</v>
      </c>
      <c r="H61" s="12">
        <v>0</v>
      </c>
      <c r="I61" s="12">
        <v>1</v>
      </c>
      <c r="J61" s="12">
        <v>0</v>
      </c>
      <c r="K61" s="10">
        <v>4</v>
      </c>
      <c r="L61" s="14"/>
    </row>
    <row r="62" spans="1:12" ht="39.6" customHeight="1">
      <c r="A62" s="19" t="s">
        <v>220</v>
      </c>
      <c r="B62" s="20" t="s">
        <v>224</v>
      </c>
      <c r="C62" s="19" t="s">
        <v>142</v>
      </c>
      <c r="D62" s="21" t="s">
        <v>193</v>
      </c>
      <c r="E62" s="14">
        <v>0</v>
      </c>
      <c r="F62" s="14">
        <v>3</v>
      </c>
      <c r="G62" s="14">
        <v>0</v>
      </c>
      <c r="H62" s="14">
        <v>1</v>
      </c>
      <c r="I62" s="14">
        <v>1</v>
      </c>
      <c r="J62" s="14">
        <v>0</v>
      </c>
      <c r="K62" s="10">
        <v>0</v>
      </c>
      <c r="L62" s="19" t="s">
        <v>194</v>
      </c>
    </row>
    <row r="63" spans="1:12" ht="39.6" customHeight="1">
      <c r="A63" s="12" t="s">
        <v>220</v>
      </c>
      <c r="B63" s="13" t="s">
        <v>225</v>
      </c>
      <c r="C63" s="12" t="s">
        <v>63</v>
      </c>
      <c r="D63" s="21" t="s">
        <v>226</v>
      </c>
      <c r="E63" s="12">
        <v>0</v>
      </c>
      <c r="F63" s="12">
        <v>1</v>
      </c>
      <c r="G63" s="12">
        <v>0</v>
      </c>
      <c r="H63" s="12">
        <v>1</v>
      </c>
      <c r="I63" s="12">
        <v>0</v>
      </c>
      <c r="J63" s="12">
        <v>0</v>
      </c>
      <c r="K63" s="10">
        <v>2</v>
      </c>
      <c r="L63" s="14"/>
    </row>
    <row r="64" spans="1:12" ht="39.6" customHeight="1">
      <c r="A64" s="12" t="s">
        <v>220</v>
      </c>
      <c r="B64" s="13" t="s">
        <v>227</v>
      </c>
      <c r="C64" s="12" t="s">
        <v>228</v>
      </c>
      <c r="D64" s="13"/>
      <c r="E64" s="12">
        <v>0</v>
      </c>
      <c r="F64" s="12">
        <v>1</v>
      </c>
      <c r="G64" s="12">
        <v>0</v>
      </c>
      <c r="H64" s="12">
        <v>0</v>
      </c>
      <c r="I64" s="12">
        <v>0</v>
      </c>
      <c r="J64" s="12">
        <v>0</v>
      </c>
      <c r="K64" s="10">
        <v>1</v>
      </c>
      <c r="L64" s="14"/>
    </row>
    <row r="65" spans="1:12" ht="26.4" customHeight="1">
      <c r="A65" s="12" t="s">
        <v>220</v>
      </c>
      <c r="B65" s="13" t="s">
        <v>229</v>
      </c>
      <c r="C65" s="12" t="s">
        <v>9</v>
      </c>
      <c r="D65" s="13"/>
      <c r="E65" s="12">
        <v>1</v>
      </c>
      <c r="F65" s="12">
        <v>2</v>
      </c>
      <c r="G65" s="12">
        <v>0</v>
      </c>
      <c r="H65" s="12">
        <v>1</v>
      </c>
      <c r="I65" s="12">
        <v>0</v>
      </c>
      <c r="J65" s="12">
        <v>0</v>
      </c>
      <c r="K65" s="10">
        <v>4</v>
      </c>
      <c r="L65" s="14"/>
    </row>
    <row r="66" spans="1:12" ht="52.95" customHeight="1">
      <c r="A66" s="12" t="s">
        <v>220</v>
      </c>
      <c r="B66" s="13" t="s">
        <v>230</v>
      </c>
      <c r="C66" s="12" t="s">
        <v>32</v>
      </c>
      <c r="D66" s="13"/>
      <c r="E66" s="12">
        <v>2</v>
      </c>
      <c r="F66" s="12">
        <v>1</v>
      </c>
      <c r="G66" s="12">
        <v>0</v>
      </c>
      <c r="H66" s="12">
        <v>0</v>
      </c>
      <c r="I66" s="12">
        <v>0</v>
      </c>
      <c r="J66" s="12">
        <v>0</v>
      </c>
      <c r="K66" s="10">
        <v>3</v>
      </c>
    </row>
    <row r="67" spans="1:12" ht="66" customHeight="1">
      <c r="A67" s="12" t="s">
        <v>220</v>
      </c>
      <c r="B67" s="13" t="s">
        <v>231</v>
      </c>
      <c r="C67" s="12" t="s">
        <v>29</v>
      </c>
      <c r="D67" s="13"/>
      <c r="E67" s="12">
        <v>1</v>
      </c>
      <c r="F67" s="12">
        <v>2</v>
      </c>
      <c r="G67" s="12">
        <v>1</v>
      </c>
      <c r="H67" s="12">
        <v>0</v>
      </c>
      <c r="I67" s="12">
        <v>0</v>
      </c>
      <c r="J67" s="12">
        <v>0</v>
      </c>
      <c r="K67" s="10">
        <v>4</v>
      </c>
    </row>
    <row r="68" spans="1:12" ht="26.4" customHeight="1">
      <c r="A68" s="12" t="s">
        <v>220</v>
      </c>
      <c r="B68" s="13" t="s">
        <v>105</v>
      </c>
      <c r="C68" s="12" t="s">
        <v>65</v>
      </c>
      <c r="D68" s="13" t="s">
        <v>232</v>
      </c>
      <c r="E68" s="12">
        <v>1</v>
      </c>
      <c r="F68" s="12">
        <v>0</v>
      </c>
      <c r="G68" s="12">
        <v>0</v>
      </c>
      <c r="H68" s="12">
        <v>0</v>
      </c>
      <c r="I68" s="12">
        <v>1</v>
      </c>
      <c r="J68" s="12">
        <v>3</v>
      </c>
      <c r="K68" s="10">
        <v>5</v>
      </c>
    </row>
    <row r="69" spans="1:12" ht="26.4">
      <c r="A69" s="15" t="s">
        <v>233</v>
      </c>
      <c r="B69" s="16"/>
      <c r="C69" s="16"/>
      <c r="D69" s="16"/>
      <c r="E69" s="15">
        <v>9</v>
      </c>
      <c r="F69" s="15">
        <v>12</v>
      </c>
      <c r="G69" s="15">
        <v>1</v>
      </c>
      <c r="H69" s="15">
        <v>3</v>
      </c>
      <c r="I69" s="15">
        <v>3</v>
      </c>
      <c r="J69" s="15">
        <v>3</v>
      </c>
      <c r="K69" s="15">
        <v>31</v>
      </c>
      <c r="L69" s="16"/>
    </row>
    <row r="70" spans="1:12" ht="26.4" customHeight="1">
      <c r="E70" s="27">
        <v>0.29032258064516131</v>
      </c>
      <c r="F70" s="27">
        <v>0.38709677419354838</v>
      </c>
      <c r="G70" s="27">
        <v>3.2258064516129031E-2</v>
      </c>
      <c r="H70" s="27">
        <v>9.6774193548387094E-2</v>
      </c>
      <c r="I70" s="27">
        <v>9.6774193548387094E-2</v>
      </c>
      <c r="J70" s="27">
        <v>9.6774193548387094E-2</v>
      </c>
      <c r="K70" s="22">
        <v>1</v>
      </c>
    </row>
    <row r="71" spans="1:12" ht="39.6" customHeight="1">
      <c r="A71" s="12" t="s">
        <v>234</v>
      </c>
      <c r="B71" s="13" t="s">
        <v>235</v>
      </c>
      <c r="C71" s="12" t="s">
        <v>109</v>
      </c>
      <c r="D71" s="13"/>
      <c r="E71" s="12">
        <v>1</v>
      </c>
      <c r="F71" s="12">
        <v>2</v>
      </c>
      <c r="G71" s="12">
        <v>0</v>
      </c>
      <c r="H71" s="12">
        <v>0</v>
      </c>
      <c r="I71" s="12">
        <v>2</v>
      </c>
      <c r="J71" s="12">
        <v>0</v>
      </c>
      <c r="K71" s="10">
        <v>5</v>
      </c>
      <c r="L71" s="14"/>
    </row>
    <row r="72" spans="1:12" ht="26.4" customHeight="1">
      <c r="A72" s="12" t="s">
        <v>234</v>
      </c>
      <c r="B72" s="13" t="s">
        <v>236</v>
      </c>
      <c r="C72" s="12" t="s">
        <v>9</v>
      </c>
      <c r="D72" s="13"/>
      <c r="E72" s="12">
        <v>1</v>
      </c>
      <c r="F72" s="12">
        <v>2</v>
      </c>
      <c r="G72" s="12">
        <v>1</v>
      </c>
      <c r="H72" s="12">
        <v>0</v>
      </c>
      <c r="I72" s="12">
        <v>0</v>
      </c>
      <c r="J72" s="12">
        <v>0</v>
      </c>
      <c r="K72" s="10">
        <v>4</v>
      </c>
      <c r="L72" s="14"/>
    </row>
    <row r="73" spans="1:12" ht="26.4" customHeight="1">
      <c r="A73" s="12" t="s">
        <v>234</v>
      </c>
      <c r="B73" s="13" t="s">
        <v>237</v>
      </c>
      <c r="C73" s="12" t="s">
        <v>39</v>
      </c>
      <c r="D73" s="13"/>
      <c r="E73" s="12">
        <v>1</v>
      </c>
      <c r="F73" s="12">
        <v>1</v>
      </c>
      <c r="G73" s="12">
        <v>0</v>
      </c>
      <c r="H73" s="12">
        <v>0</v>
      </c>
      <c r="I73" s="12">
        <v>2</v>
      </c>
      <c r="J73" s="12">
        <v>0</v>
      </c>
      <c r="K73" s="10">
        <v>4</v>
      </c>
      <c r="L73" s="14"/>
    </row>
    <row r="74" spans="1:12" ht="66" customHeight="1">
      <c r="A74" s="12" t="s">
        <v>234</v>
      </c>
      <c r="B74" s="13" t="s">
        <v>238</v>
      </c>
      <c r="C74" s="12" t="s">
        <v>71</v>
      </c>
      <c r="D74" s="13"/>
      <c r="E74" s="12">
        <v>1</v>
      </c>
      <c r="F74" s="12">
        <v>1</v>
      </c>
      <c r="G74" s="12">
        <v>0</v>
      </c>
      <c r="H74" s="12">
        <v>0</v>
      </c>
      <c r="I74" s="12">
        <v>1</v>
      </c>
      <c r="J74" s="12">
        <v>0</v>
      </c>
      <c r="K74" s="10">
        <v>3</v>
      </c>
      <c r="L74" s="14"/>
    </row>
    <row r="75" spans="1:12" ht="26.4" customHeight="1">
      <c r="A75" s="12" t="s">
        <v>234</v>
      </c>
      <c r="B75" s="13" t="s">
        <v>239</v>
      </c>
      <c r="C75" s="12" t="s">
        <v>13</v>
      </c>
      <c r="D75" s="13" t="s">
        <v>123</v>
      </c>
      <c r="E75" s="12">
        <v>1</v>
      </c>
      <c r="F75" s="12">
        <v>0</v>
      </c>
      <c r="G75" s="12">
        <v>0</v>
      </c>
      <c r="H75" s="12">
        <v>0</v>
      </c>
      <c r="I75" s="12">
        <v>0</v>
      </c>
      <c r="J75" s="12">
        <v>0</v>
      </c>
      <c r="K75" s="10">
        <v>1</v>
      </c>
      <c r="L75" s="14"/>
    </row>
    <row r="76" spans="1:12" ht="26.4">
      <c r="A76" s="15" t="s">
        <v>240</v>
      </c>
      <c r="B76" s="16"/>
      <c r="C76" s="16"/>
      <c r="D76" s="16"/>
      <c r="E76" s="15">
        <v>5</v>
      </c>
      <c r="F76" s="15">
        <v>6</v>
      </c>
      <c r="G76" s="15">
        <v>1</v>
      </c>
      <c r="H76" s="15">
        <v>0</v>
      </c>
      <c r="I76" s="15">
        <v>5</v>
      </c>
      <c r="J76" s="15">
        <v>0</v>
      </c>
      <c r="K76" s="15">
        <f>SUM(K69:K73)</f>
        <v>45</v>
      </c>
      <c r="L76" s="16"/>
    </row>
    <row r="77" spans="1:12">
      <c r="E77" s="27">
        <v>0.29411764705882348</v>
      </c>
      <c r="F77" s="27">
        <v>0.35294117647058831</v>
      </c>
      <c r="G77" s="27">
        <v>5.8823529411764712E-2</v>
      </c>
      <c r="H77" s="27">
        <v>0</v>
      </c>
      <c r="I77" s="27">
        <v>0.29411764705882348</v>
      </c>
      <c r="J77" s="27">
        <v>0</v>
      </c>
      <c r="K77" s="24">
        <v>1</v>
      </c>
    </row>
    <row r="81" spans="1:10">
      <c r="A81" s="31"/>
      <c r="B81" s="31"/>
      <c r="C81" s="31"/>
      <c r="D81" s="31"/>
      <c r="E81" s="31"/>
      <c r="F81" s="31"/>
      <c r="G81" s="31"/>
      <c r="H81" s="31"/>
      <c r="I81" s="31"/>
      <c r="J81" s="31"/>
    </row>
    <row r="82" spans="1:10" ht="26.4" customHeight="1">
      <c r="A82" s="25" t="s">
        <v>241</v>
      </c>
    </row>
    <row r="83" spans="1:10" ht="26.4" customHeight="1">
      <c r="A83" s="2" t="s">
        <v>242</v>
      </c>
      <c r="B83" s="2" t="s">
        <v>243</v>
      </c>
      <c r="C83" s="3" t="s">
        <v>108</v>
      </c>
      <c r="D83" s="4" t="s">
        <v>43</v>
      </c>
      <c r="E83" s="5" t="s">
        <v>153</v>
      </c>
      <c r="F83" s="6" t="s">
        <v>154</v>
      </c>
      <c r="G83" s="7" t="s">
        <v>155</v>
      </c>
      <c r="H83" s="8" t="s">
        <v>244</v>
      </c>
      <c r="I83" s="2" t="s">
        <v>156</v>
      </c>
      <c r="J83" s="2" t="s">
        <v>245</v>
      </c>
    </row>
    <row r="84" spans="1:10" ht="39.6" customHeight="1">
      <c r="A84" s="13" t="s">
        <v>44</v>
      </c>
      <c r="B84" s="12">
        <v>3</v>
      </c>
      <c r="C84" s="12">
        <v>4</v>
      </c>
      <c r="D84" s="12">
        <v>5</v>
      </c>
      <c r="E84" s="12">
        <v>1</v>
      </c>
      <c r="F84" s="12">
        <v>2</v>
      </c>
      <c r="G84" s="12">
        <v>2</v>
      </c>
      <c r="H84" s="12">
        <v>0</v>
      </c>
      <c r="I84" s="10">
        <v>14</v>
      </c>
      <c r="J84" s="29">
        <v>0.28571428571428598</v>
      </c>
    </row>
    <row r="85" spans="1:10" ht="26.4" customHeight="1">
      <c r="A85" s="13" t="s">
        <v>9</v>
      </c>
      <c r="B85" s="12">
        <v>3</v>
      </c>
      <c r="C85" s="12">
        <v>3</v>
      </c>
      <c r="D85" s="12">
        <v>6</v>
      </c>
      <c r="E85" s="12">
        <v>1</v>
      </c>
      <c r="F85" s="12">
        <v>1</v>
      </c>
      <c r="G85" s="12">
        <v>1</v>
      </c>
      <c r="H85" s="12">
        <v>0</v>
      </c>
      <c r="I85" s="10">
        <v>12</v>
      </c>
      <c r="J85" s="29">
        <v>0.25</v>
      </c>
    </row>
    <row r="86" spans="1:10" ht="26.4" customHeight="1">
      <c r="A86" s="13" t="s">
        <v>50</v>
      </c>
      <c r="B86" s="12">
        <v>3</v>
      </c>
      <c r="C86" s="12">
        <v>2</v>
      </c>
      <c r="D86" s="12">
        <v>5</v>
      </c>
      <c r="E86" s="12">
        <v>0</v>
      </c>
      <c r="F86" s="12">
        <v>1</v>
      </c>
      <c r="G86" s="12">
        <v>3</v>
      </c>
      <c r="H86" s="12">
        <v>0</v>
      </c>
      <c r="I86" s="10">
        <v>11</v>
      </c>
      <c r="J86" s="29">
        <v>0.1818181818181818</v>
      </c>
    </row>
    <row r="87" spans="1:10" ht="26.4">
      <c r="A87" s="13" t="s">
        <v>16</v>
      </c>
      <c r="B87" s="12">
        <v>2</v>
      </c>
      <c r="C87" s="12">
        <v>3</v>
      </c>
      <c r="D87" s="12">
        <v>5</v>
      </c>
      <c r="E87" s="12">
        <v>1</v>
      </c>
      <c r="F87" s="12">
        <v>1</v>
      </c>
      <c r="G87" s="12">
        <v>1</v>
      </c>
      <c r="H87" s="12">
        <v>0</v>
      </c>
      <c r="I87" s="10">
        <v>11</v>
      </c>
      <c r="J87" s="29">
        <v>0.27272727272727298</v>
      </c>
    </row>
    <row r="88" spans="1:10" ht="26.4" customHeight="1">
      <c r="A88" s="13" t="s">
        <v>211</v>
      </c>
      <c r="B88" s="12">
        <v>1</v>
      </c>
      <c r="C88" s="12">
        <v>3</v>
      </c>
      <c r="D88" s="12">
        <v>4</v>
      </c>
      <c r="E88" s="12">
        <v>0</v>
      </c>
      <c r="F88" s="12">
        <v>0</v>
      </c>
      <c r="G88" s="12">
        <v>1</v>
      </c>
      <c r="H88" s="12">
        <v>0</v>
      </c>
      <c r="I88" s="10">
        <v>8</v>
      </c>
      <c r="J88" s="29">
        <v>0.375</v>
      </c>
    </row>
    <row r="89" spans="1:10" ht="26.4" customHeight="1">
      <c r="A89" s="13" t="s">
        <v>58</v>
      </c>
      <c r="B89" s="12">
        <v>2</v>
      </c>
      <c r="C89" s="12">
        <v>3</v>
      </c>
      <c r="D89" s="12">
        <v>6</v>
      </c>
      <c r="E89" s="12">
        <v>0</v>
      </c>
      <c r="F89" s="12">
        <v>0</v>
      </c>
      <c r="G89" s="12">
        <v>3</v>
      </c>
      <c r="H89" s="12">
        <v>0</v>
      </c>
      <c r="I89" s="10">
        <v>12</v>
      </c>
      <c r="J89" s="29">
        <v>0.25</v>
      </c>
    </row>
    <row r="90" spans="1:10" ht="26.4" customHeight="1">
      <c r="A90" s="13" t="s">
        <v>60</v>
      </c>
      <c r="B90" s="12">
        <v>1</v>
      </c>
      <c r="C90" s="12">
        <v>2</v>
      </c>
      <c r="D90" s="12">
        <v>3</v>
      </c>
      <c r="E90" s="12">
        <v>1</v>
      </c>
      <c r="F90" s="12">
        <v>0</v>
      </c>
      <c r="G90" s="12">
        <v>1</v>
      </c>
      <c r="H90" s="12">
        <v>0</v>
      </c>
      <c r="I90" s="10">
        <v>7</v>
      </c>
      <c r="J90" s="29">
        <v>0.28571428571428598</v>
      </c>
    </row>
    <row r="91" spans="1:10" ht="26.4" customHeight="1">
      <c r="A91" s="13" t="s">
        <v>76</v>
      </c>
      <c r="B91" s="12">
        <v>1</v>
      </c>
      <c r="C91" s="12">
        <v>2</v>
      </c>
      <c r="D91" s="12">
        <v>3</v>
      </c>
      <c r="E91" s="12">
        <v>1</v>
      </c>
      <c r="F91" s="12">
        <v>0</v>
      </c>
      <c r="G91" s="12">
        <v>1</v>
      </c>
      <c r="H91" s="12">
        <v>0</v>
      </c>
      <c r="I91" s="10">
        <v>7</v>
      </c>
      <c r="J91" s="29">
        <v>0.28571428571428598</v>
      </c>
    </row>
    <row r="92" spans="1:10" ht="26.4" customHeight="1">
      <c r="A92" s="13" t="s">
        <v>136</v>
      </c>
      <c r="B92" s="12">
        <v>2</v>
      </c>
      <c r="C92" s="12">
        <v>2</v>
      </c>
      <c r="D92" s="12">
        <v>3</v>
      </c>
      <c r="E92" s="12">
        <v>0</v>
      </c>
      <c r="F92" s="12">
        <v>0</v>
      </c>
      <c r="G92" s="12">
        <v>1</v>
      </c>
      <c r="H92" s="12">
        <v>0</v>
      </c>
      <c r="I92" s="10">
        <v>6</v>
      </c>
      <c r="J92" s="29">
        <v>0.33333333333333298</v>
      </c>
    </row>
    <row r="93" spans="1:10" ht="26.4" customHeight="1">
      <c r="A93" s="13" t="s">
        <v>32</v>
      </c>
      <c r="B93" s="12">
        <v>2</v>
      </c>
      <c r="C93" s="12">
        <v>4</v>
      </c>
      <c r="D93" s="12">
        <v>4</v>
      </c>
      <c r="E93" s="12">
        <v>0</v>
      </c>
      <c r="F93" s="12">
        <v>0</v>
      </c>
      <c r="G93" s="12">
        <v>1</v>
      </c>
      <c r="H93" s="12">
        <v>0</v>
      </c>
      <c r="I93" s="10">
        <v>9</v>
      </c>
      <c r="J93" s="29">
        <v>0.44444444444444442</v>
      </c>
    </row>
    <row r="94" spans="1:10" ht="39.6" customHeight="1">
      <c r="A94" s="13" t="s">
        <v>109</v>
      </c>
      <c r="B94" s="12">
        <v>1</v>
      </c>
      <c r="C94" s="12">
        <v>1</v>
      </c>
      <c r="D94" s="12">
        <v>2</v>
      </c>
      <c r="E94" s="12">
        <v>0</v>
      </c>
      <c r="F94" s="12">
        <v>0</v>
      </c>
      <c r="G94" s="12">
        <v>2</v>
      </c>
      <c r="H94" s="12">
        <v>0</v>
      </c>
      <c r="I94" s="10">
        <v>5</v>
      </c>
      <c r="J94" s="29">
        <v>0.2</v>
      </c>
    </row>
    <row r="95" spans="1:10" ht="26.4" customHeight="1">
      <c r="A95" s="13" t="s">
        <v>19</v>
      </c>
      <c r="B95" s="12">
        <v>2</v>
      </c>
      <c r="C95" s="12">
        <v>2</v>
      </c>
      <c r="D95" s="12">
        <v>3</v>
      </c>
      <c r="E95" s="12">
        <v>0</v>
      </c>
      <c r="F95" s="12">
        <v>1</v>
      </c>
      <c r="G95" s="12">
        <v>1</v>
      </c>
      <c r="H95" s="12">
        <v>4</v>
      </c>
      <c r="I95" s="10">
        <v>11</v>
      </c>
      <c r="J95" s="29">
        <v>0.1818181818181818</v>
      </c>
    </row>
    <row r="96" spans="1:10" ht="26.4" customHeight="1">
      <c r="A96" s="13" t="s">
        <v>65</v>
      </c>
      <c r="B96" s="12">
        <v>3</v>
      </c>
      <c r="C96" s="12">
        <v>3</v>
      </c>
      <c r="D96" s="12">
        <v>3</v>
      </c>
      <c r="E96" s="12">
        <v>0</v>
      </c>
      <c r="F96" s="12">
        <v>0</v>
      </c>
      <c r="G96" s="12">
        <v>2</v>
      </c>
      <c r="H96" s="12">
        <v>5</v>
      </c>
      <c r="I96" s="10">
        <v>13</v>
      </c>
      <c r="J96" s="29">
        <v>0.23076923076923081</v>
      </c>
    </row>
    <row r="97" spans="1:10" ht="26.4">
      <c r="A97" s="13" t="s">
        <v>39</v>
      </c>
      <c r="B97" s="12">
        <v>1</v>
      </c>
      <c r="C97" s="12">
        <v>1</v>
      </c>
      <c r="D97" s="12">
        <v>1</v>
      </c>
      <c r="E97" s="12">
        <v>0</v>
      </c>
      <c r="F97" s="12">
        <v>0</v>
      </c>
      <c r="G97" s="12">
        <v>2</v>
      </c>
      <c r="H97" s="12">
        <v>0</v>
      </c>
      <c r="I97" s="10">
        <v>4</v>
      </c>
      <c r="J97" s="29">
        <v>0.25</v>
      </c>
    </row>
    <row r="98" spans="1:10" ht="26.4" customHeight="1">
      <c r="A98" s="13" t="s">
        <v>35</v>
      </c>
      <c r="B98" s="12">
        <v>1</v>
      </c>
      <c r="C98" s="12">
        <v>1</v>
      </c>
      <c r="D98" s="12">
        <v>2</v>
      </c>
      <c r="E98" s="12">
        <v>0</v>
      </c>
      <c r="F98" s="12">
        <v>1</v>
      </c>
      <c r="G98" s="12">
        <v>0</v>
      </c>
      <c r="H98" s="12">
        <v>0</v>
      </c>
      <c r="I98" s="10">
        <v>4</v>
      </c>
      <c r="J98" s="29">
        <v>0.25</v>
      </c>
    </row>
    <row r="99" spans="1:10" ht="26.4" customHeight="1">
      <c r="A99" s="13" t="s">
        <v>99</v>
      </c>
      <c r="B99" s="12">
        <v>1</v>
      </c>
      <c r="C99" s="12">
        <v>1</v>
      </c>
      <c r="D99" s="12">
        <v>2</v>
      </c>
      <c r="E99" s="12">
        <v>0</v>
      </c>
      <c r="F99" s="12">
        <v>0</v>
      </c>
      <c r="G99" s="12">
        <v>1</v>
      </c>
      <c r="H99" s="12">
        <v>0</v>
      </c>
      <c r="I99" s="10">
        <v>4</v>
      </c>
      <c r="J99" s="29">
        <v>0.25</v>
      </c>
    </row>
    <row r="100" spans="1:10" ht="26.4">
      <c r="A100" s="13" t="s">
        <v>27</v>
      </c>
      <c r="B100" s="12">
        <v>1</v>
      </c>
      <c r="C100" s="12">
        <v>1</v>
      </c>
      <c r="D100" s="12">
        <v>1</v>
      </c>
      <c r="E100" s="12">
        <v>0</v>
      </c>
      <c r="F100" s="12">
        <v>0</v>
      </c>
      <c r="G100" s="12">
        <v>2</v>
      </c>
      <c r="H100" s="12">
        <v>0</v>
      </c>
      <c r="I100" s="10">
        <v>4</v>
      </c>
      <c r="J100" s="29">
        <v>0.25</v>
      </c>
    </row>
    <row r="101" spans="1:10" ht="26.4" customHeight="1">
      <c r="A101" s="13" t="s">
        <v>184</v>
      </c>
      <c r="B101" s="12">
        <v>1</v>
      </c>
      <c r="C101" s="12">
        <v>1</v>
      </c>
      <c r="D101" s="12">
        <v>2</v>
      </c>
      <c r="E101" s="12">
        <v>0</v>
      </c>
      <c r="F101" s="12">
        <v>0</v>
      </c>
      <c r="G101" s="12">
        <v>1</v>
      </c>
      <c r="H101" s="12">
        <v>0</v>
      </c>
      <c r="I101" s="10">
        <v>4</v>
      </c>
      <c r="J101" s="29">
        <v>0.25</v>
      </c>
    </row>
    <row r="102" spans="1:10" ht="26.4" customHeight="1">
      <c r="A102" s="13" t="s">
        <v>81</v>
      </c>
      <c r="B102" s="12">
        <v>2</v>
      </c>
      <c r="C102" s="12">
        <v>2</v>
      </c>
      <c r="D102" s="12">
        <v>2</v>
      </c>
      <c r="E102" s="12">
        <v>0</v>
      </c>
      <c r="F102" s="12">
        <v>0</v>
      </c>
      <c r="G102" s="12">
        <v>2</v>
      </c>
      <c r="H102" s="12">
        <v>0</v>
      </c>
      <c r="I102" s="10">
        <v>6</v>
      </c>
      <c r="J102" s="29">
        <v>0.33333333333333331</v>
      </c>
    </row>
    <row r="103" spans="1:10" ht="26.4" customHeight="1">
      <c r="A103" s="13" t="s">
        <v>63</v>
      </c>
      <c r="B103" s="12">
        <v>2</v>
      </c>
      <c r="C103" s="12">
        <v>1</v>
      </c>
      <c r="D103" s="12">
        <v>1</v>
      </c>
      <c r="E103" s="12">
        <v>0</v>
      </c>
      <c r="F103" s="12">
        <v>1</v>
      </c>
      <c r="G103" s="12">
        <v>0</v>
      </c>
      <c r="H103" s="12">
        <v>0</v>
      </c>
      <c r="I103" s="10">
        <v>3</v>
      </c>
      <c r="J103" s="29">
        <v>0.33333333333333298</v>
      </c>
    </row>
    <row r="104" spans="1:10" ht="39.6" customHeight="1">
      <c r="A104" s="13" t="s">
        <v>71</v>
      </c>
      <c r="B104" s="12">
        <v>1</v>
      </c>
      <c r="C104" s="12">
        <v>1</v>
      </c>
      <c r="D104" s="12">
        <v>1</v>
      </c>
      <c r="E104" s="12">
        <v>0</v>
      </c>
      <c r="F104" s="12">
        <v>0</v>
      </c>
      <c r="G104" s="12">
        <v>1</v>
      </c>
      <c r="H104" s="12">
        <v>0</v>
      </c>
      <c r="I104" s="10">
        <v>3</v>
      </c>
      <c r="J104" s="29">
        <v>0.33333333333333298</v>
      </c>
    </row>
    <row r="105" spans="1:10" ht="26.4" customHeight="1">
      <c r="A105" s="13" t="s">
        <v>24</v>
      </c>
      <c r="B105" s="12">
        <v>1</v>
      </c>
      <c r="C105" s="12">
        <v>1</v>
      </c>
      <c r="D105" s="12">
        <v>1</v>
      </c>
      <c r="E105" s="12">
        <v>0</v>
      </c>
      <c r="F105" s="12">
        <v>0</v>
      </c>
      <c r="G105" s="12">
        <v>1</v>
      </c>
      <c r="H105" s="12">
        <v>0</v>
      </c>
      <c r="I105" s="10">
        <v>3</v>
      </c>
      <c r="J105" s="29">
        <v>0.33333333333333298</v>
      </c>
    </row>
    <row r="106" spans="1:10" ht="26.4">
      <c r="A106" s="13" t="s">
        <v>132</v>
      </c>
      <c r="B106" s="12">
        <v>1</v>
      </c>
      <c r="C106" s="12">
        <v>1</v>
      </c>
      <c r="D106" s="12">
        <v>1</v>
      </c>
      <c r="E106" s="12">
        <v>0</v>
      </c>
      <c r="F106" s="12">
        <v>0</v>
      </c>
      <c r="G106" s="12">
        <v>1</v>
      </c>
      <c r="H106" s="12">
        <v>0</v>
      </c>
      <c r="I106" s="10">
        <v>3</v>
      </c>
      <c r="J106" s="29">
        <v>0.33333333333333298</v>
      </c>
    </row>
    <row r="107" spans="1:10" ht="26.4" customHeight="1">
      <c r="A107" s="13" t="s">
        <v>200</v>
      </c>
      <c r="B107" s="12">
        <v>1</v>
      </c>
      <c r="C107" s="12">
        <v>1</v>
      </c>
      <c r="D107" s="12">
        <v>1</v>
      </c>
      <c r="E107" s="12">
        <v>0</v>
      </c>
      <c r="F107" s="12">
        <v>1</v>
      </c>
      <c r="G107" s="12">
        <v>0</v>
      </c>
      <c r="H107" s="12">
        <v>0</v>
      </c>
      <c r="I107" s="10">
        <v>3</v>
      </c>
      <c r="J107" s="29">
        <v>0.33333333333333298</v>
      </c>
    </row>
    <row r="108" spans="1:10" ht="26.4" customHeight="1">
      <c r="A108" s="13" t="s">
        <v>112</v>
      </c>
      <c r="B108" s="12">
        <v>1</v>
      </c>
      <c r="C108" s="12">
        <v>0</v>
      </c>
      <c r="D108" s="12">
        <v>2</v>
      </c>
      <c r="E108" s="12">
        <v>0</v>
      </c>
      <c r="F108" s="12">
        <v>0</v>
      </c>
      <c r="G108" s="12">
        <v>1</v>
      </c>
      <c r="H108" s="12">
        <v>0</v>
      </c>
      <c r="I108" s="10">
        <v>3</v>
      </c>
      <c r="J108" s="29">
        <v>0</v>
      </c>
    </row>
    <row r="109" spans="1:10" ht="26.4" customHeight="1">
      <c r="A109" s="13" t="s">
        <v>88</v>
      </c>
      <c r="B109" s="12">
        <v>1</v>
      </c>
      <c r="C109" s="12">
        <v>1</v>
      </c>
      <c r="D109" s="12">
        <v>1</v>
      </c>
      <c r="E109" s="12">
        <v>0</v>
      </c>
      <c r="F109" s="12">
        <v>0</v>
      </c>
      <c r="G109" s="12">
        <v>0</v>
      </c>
      <c r="H109" s="12">
        <v>0</v>
      </c>
      <c r="I109" s="10">
        <v>2</v>
      </c>
      <c r="J109" s="29">
        <v>0.5</v>
      </c>
    </row>
    <row r="110" spans="1:10" ht="26.4" customHeight="1">
      <c r="A110" s="13" t="s">
        <v>138</v>
      </c>
      <c r="B110" s="12">
        <v>1</v>
      </c>
      <c r="C110" s="12">
        <v>0</v>
      </c>
      <c r="D110" s="12">
        <v>1</v>
      </c>
      <c r="E110" s="12">
        <v>0</v>
      </c>
      <c r="F110" s="12">
        <v>0</v>
      </c>
      <c r="G110" s="12">
        <v>1</v>
      </c>
      <c r="H110" s="12">
        <v>0</v>
      </c>
      <c r="I110" s="10">
        <v>2</v>
      </c>
      <c r="J110" s="29">
        <v>0</v>
      </c>
    </row>
    <row r="111" spans="1:10" ht="26.4" customHeight="1">
      <c r="A111" s="13" t="s">
        <v>93</v>
      </c>
      <c r="B111" s="12">
        <v>1</v>
      </c>
      <c r="C111" s="12">
        <v>1</v>
      </c>
      <c r="D111" s="12">
        <v>1</v>
      </c>
      <c r="E111" s="12">
        <v>0</v>
      </c>
      <c r="F111" s="12">
        <v>0</v>
      </c>
      <c r="G111" s="12">
        <v>0</v>
      </c>
      <c r="H111" s="12">
        <v>0</v>
      </c>
      <c r="I111" s="10">
        <v>2</v>
      </c>
      <c r="J111" s="29">
        <v>0.5</v>
      </c>
    </row>
    <row r="112" spans="1:10" ht="26.4" customHeight="1">
      <c r="A112" s="13" t="s">
        <v>101</v>
      </c>
      <c r="B112" s="12">
        <v>2</v>
      </c>
      <c r="C112" s="12">
        <v>2</v>
      </c>
      <c r="D112" s="12">
        <v>3</v>
      </c>
      <c r="E112" s="12">
        <v>0</v>
      </c>
      <c r="F112" s="12">
        <v>0</v>
      </c>
      <c r="G112" s="12">
        <v>0</v>
      </c>
      <c r="H112" s="12">
        <v>0</v>
      </c>
      <c r="I112" s="10">
        <v>5</v>
      </c>
      <c r="J112" s="29">
        <v>0.4</v>
      </c>
    </row>
    <row r="113" spans="1:10" ht="26.4">
      <c r="A113" s="13" t="s">
        <v>228</v>
      </c>
      <c r="B113" s="12">
        <v>1</v>
      </c>
      <c r="C113" s="12">
        <v>0</v>
      </c>
      <c r="D113" s="12">
        <v>1</v>
      </c>
      <c r="E113" s="12">
        <v>0</v>
      </c>
      <c r="F113" s="12">
        <v>0</v>
      </c>
      <c r="G113" s="12">
        <v>0</v>
      </c>
      <c r="H113" s="12">
        <v>0</v>
      </c>
      <c r="I113" s="10">
        <v>1</v>
      </c>
      <c r="J113" s="29">
        <v>0</v>
      </c>
    </row>
    <row r="114" spans="1:10" ht="26.4" customHeight="1">
      <c r="A114" s="13" t="s">
        <v>74</v>
      </c>
      <c r="B114" s="12">
        <v>1</v>
      </c>
      <c r="C114" s="12">
        <v>1</v>
      </c>
      <c r="D114" s="12">
        <v>1</v>
      </c>
      <c r="E114" s="12">
        <v>0</v>
      </c>
      <c r="F114" s="12">
        <v>0</v>
      </c>
      <c r="G114" s="12">
        <v>0</v>
      </c>
      <c r="H114" s="12">
        <v>0</v>
      </c>
      <c r="I114" s="10">
        <v>2</v>
      </c>
      <c r="J114" s="29">
        <v>0.5</v>
      </c>
    </row>
    <row r="115" spans="1:10" ht="26.4" customHeight="1">
      <c r="A115" s="13" t="s">
        <v>29</v>
      </c>
      <c r="B115" s="12">
        <v>1</v>
      </c>
      <c r="C115" s="12">
        <v>1</v>
      </c>
      <c r="D115" s="12">
        <v>2</v>
      </c>
      <c r="E115" s="12">
        <v>1</v>
      </c>
      <c r="F115" s="12">
        <v>0</v>
      </c>
      <c r="G115" s="12">
        <v>0</v>
      </c>
      <c r="H115" s="12">
        <v>0</v>
      </c>
      <c r="I115" s="10">
        <v>4</v>
      </c>
      <c r="J115" s="29">
        <v>0.25</v>
      </c>
    </row>
    <row r="116" spans="1:10" ht="26.4" customHeight="1">
      <c r="A116" s="13" t="s">
        <v>13</v>
      </c>
      <c r="B116" s="12">
        <v>1</v>
      </c>
      <c r="C116" s="12">
        <v>1</v>
      </c>
      <c r="D116" s="12">
        <v>0</v>
      </c>
      <c r="E116" s="12">
        <v>0</v>
      </c>
      <c r="F116" s="12">
        <v>0</v>
      </c>
      <c r="G116" s="12">
        <v>0</v>
      </c>
      <c r="H116" s="12">
        <v>0</v>
      </c>
      <c r="I116" s="10">
        <v>1</v>
      </c>
      <c r="J116" s="29">
        <v>1</v>
      </c>
    </row>
    <row r="117" spans="1:10" ht="26.4">
      <c r="A117" s="13" t="s">
        <v>121</v>
      </c>
      <c r="B117" s="12">
        <v>1</v>
      </c>
      <c r="C117" s="12">
        <v>1</v>
      </c>
      <c r="D117" s="12">
        <v>1</v>
      </c>
      <c r="E117" s="12">
        <v>0</v>
      </c>
      <c r="F117" s="12">
        <v>0</v>
      </c>
      <c r="G117" s="12">
        <v>1</v>
      </c>
      <c r="H117" s="12">
        <v>2</v>
      </c>
      <c r="I117" s="10">
        <v>5</v>
      </c>
      <c r="J117" s="29">
        <v>0.2</v>
      </c>
    </row>
  </sheetData>
  <mergeCells count="3">
    <mergeCell ref="A7:L7"/>
    <mergeCell ref="A81:J81"/>
    <mergeCell ref="A1:H1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25E-89B9-48A9-8F93-D340E717E85E}">
  <dimension ref="A1:I22"/>
  <sheetViews>
    <sheetView workbookViewId="0">
      <selection activeCell="K11" sqref="K11"/>
    </sheetView>
  </sheetViews>
  <sheetFormatPr defaultRowHeight="17.399999999999999"/>
  <cols>
    <col min="1" max="1" width="9.19921875" bestFit="1" customWidth="1"/>
    <col min="2" max="2" width="27.296875" bestFit="1" customWidth="1"/>
    <col min="3" max="3" width="8.59765625" bestFit="1" customWidth="1"/>
    <col min="4" max="4" width="18.19921875" bestFit="1" customWidth="1"/>
    <col min="5" max="6" width="8.19921875" bestFit="1" customWidth="1"/>
    <col min="7" max="7" width="6.5" bestFit="1" customWidth="1"/>
    <col min="8" max="8" width="4.796875" bestFit="1" customWidth="1"/>
    <col min="9" max="9" width="12.3984375" bestFit="1" customWidth="1"/>
  </cols>
  <sheetData>
    <row r="1" spans="1:9" ht="25.2">
      <c r="A1" s="33" t="s">
        <v>685</v>
      </c>
      <c r="B1" s="34"/>
      <c r="C1" s="34"/>
      <c r="D1" s="34"/>
      <c r="E1" s="34"/>
      <c r="F1" s="34"/>
      <c r="G1" s="34"/>
      <c r="H1" s="34"/>
      <c r="I1" s="34"/>
    </row>
    <row r="2" spans="1:9">
      <c r="A2" s="35" t="s">
        <v>686</v>
      </c>
      <c r="B2" s="34"/>
      <c r="C2" s="34"/>
      <c r="D2" s="34"/>
      <c r="E2" s="34"/>
      <c r="F2" s="34"/>
      <c r="G2" s="34"/>
      <c r="H2" s="34"/>
      <c r="I2" s="34"/>
    </row>
    <row r="3" spans="1:9">
      <c r="A3" s="36"/>
      <c r="B3" s="36"/>
      <c r="C3" s="36"/>
      <c r="D3" s="36"/>
      <c r="E3" s="36"/>
      <c r="F3" s="36"/>
      <c r="G3" s="36"/>
      <c r="H3" s="36"/>
      <c r="I3" s="36"/>
    </row>
    <row r="4" spans="1:9" ht="19.2">
      <c r="A4" s="37" t="s">
        <v>687</v>
      </c>
      <c r="B4" s="34"/>
      <c r="C4" s="34"/>
      <c r="D4" s="34"/>
      <c r="E4" s="34"/>
      <c r="F4" s="34"/>
      <c r="G4" s="34"/>
      <c r="H4" s="34"/>
      <c r="I4" s="34"/>
    </row>
    <row r="5" spans="1:9">
      <c r="A5" s="38" t="s">
        <v>688</v>
      </c>
      <c r="B5" s="38" t="s">
        <v>689</v>
      </c>
      <c r="C5" s="38" t="s">
        <v>690</v>
      </c>
      <c r="D5" s="38" t="s">
        <v>691</v>
      </c>
      <c r="E5" s="38" t="s">
        <v>692</v>
      </c>
      <c r="F5" s="38" t="s">
        <v>5</v>
      </c>
      <c r="G5" s="36"/>
      <c r="H5" s="36"/>
      <c r="I5" s="36"/>
    </row>
    <row r="6" spans="1:9">
      <c r="A6" s="39">
        <f t="shared" ref="A6:F6" si="0">SUM(C11:C20)</f>
        <v>111</v>
      </c>
      <c r="B6" s="39">
        <f t="shared" si="0"/>
        <v>44</v>
      </c>
      <c r="C6" s="39">
        <f t="shared" si="0"/>
        <v>54</v>
      </c>
      <c r="D6" s="39">
        <f t="shared" si="0"/>
        <v>1</v>
      </c>
      <c r="E6" s="39">
        <f t="shared" si="0"/>
        <v>12</v>
      </c>
      <c r="F6" s="39">
        <f t="shared" si="0"/>
        <v>0</v>
      </c>
      <c r="G6" s="36"/>
      <c r="H6" s="36"/>
      <c r="I6" s="36"/>
    </row>
    <row r="7" spans="1:9">
      <c r="A7" s="40" t="s">
        <v>693</v>
      </c>
      <c r="B7" s="41">
        <f>B6/A6</f>
        <v>0.3963963963963964</v>
      </c>
      <c r="C7" s="41">
        <f>C6/A6</f>
        <v>0.48648648648648651</v>
      </c>
      <c r="D7" s="41">
        <f>D6/A6</f>
        <v>9.0090090090090089E-3</v>
      </c>
      <c r="E7" s="41">
        <f>E6/A6</f>
        <v>0.10810810810810811</v>
      </c>
      <c r="F7" s="41">
        <f>F6/A6</f>
        <v>0</v>
      </c>
      <c r="G7" s="36"/>
      <c r="H7" s="36"/>
      <c r="I7" s="36"/>
    </row>
    <row r="8" spans="1:9">
      <c r="A8" s="36"/>
      <c r="B8" s="36"/>
      <c r="C8" s="36"/>
      <c r="D8" s="36"/>
      <c r="E8" s="36"/>
      <c r="F8" s="36"/>
      <c r="G8" s="36"/>
      <c r="H8" s="36"/>
      <c r="I8" s="36"/>
    </row>
    <row r="9" spans="1:9" ht="19.2">
      <c r="A9" s="37" t="s">
        <v>694</v>
      </c>
      <c r="B9" s="34"/>
      <c r="C9" s="34"/>
      <c r="D9" s="34"/>
      <c r="E9" s="34"/>
      <c r="F9" s="34"/>
      <c r="G9" s="34"/>
      <c r="H9" s="34"/>
      <c r="I9" s="34"/>
    </row>
    <row r="10" spans="1:9" ht="46.8">
      <c r="A10" s="42" t="s">
        <v>695</v>
      </c>
      <c r="B10" s="42" t="s">
        <v>162</v>
      </c>
      <c r="C10" s="42" t="s">
        <v>696</v>
      </c>
      <c r="D10" s="42" t="s">
        <v>689</v>
      </c>
      <c r="E10" s="42" t="s">
        <v>690</v>
      </c>
      <c r="F10" s="42" t="s">
        <v>697</v>
      </c>
      <c r="G10" s="42" t="s">
        <v>692</v>
      </c>
      <c r="H10" s="42" t="s">
        <v>5</v>
      </c>
      <c r="I10" s="42" t="s">
        <v>4</v>
      </c>
    </row>
    <row r="11" spans="1:9">
      <c r="A11" s="43">
        <v>1</v>
      </c>
      <c r="B11" s="44" t="s">
        <v>698</v>
      </c>
      <c r="C11" s="45">
        <v>29</v>
      </c>
      <c r="D11" s="46">
        <v>11</v>
      </c>
      <c r="E11" s="46">
        <v>16</v>
      </c>
      <c r="F11" s="46">
        <v>0</v>
      </c>
      <c r="G11" s="46">
        <v>2</v>
      </c>
      <c r="H11" s="46">
        <v>0</v>
      </c>
      <c r="I11" s="47"/>
    </row>
    <row r="12" spans="1:9">
      <c r="A12" s="48">
        <v>2</v>
      </c>
      <c r="B12" s="49" t="s">
        <v>699</v>
      </c>
      <c r="C12" s="50">
        <v>23</v>
      </c>
      <c r="D12" s="51">
        <v>10</v>
      </c>
      <c r="E12" s="51">
        <v>10</v>
      </c>
      <c r="F12" s="51">
        <v>1</v>
      </c>
      <c r="G12" s="51">
        <v>2</v>
      </c>
      <c r="H12" s="51">
        <v>0</v>
      </c>
      <c r="I12" s="52"/>
    </row>
    <row r="13" spans="1:9">
      <c r="A13" s="43">
        <v>3</v>
      </c>
      <c r="B13" s="44" t="s">
        <v>700</v>
      </c>
      <c r="C13" s="45">
        <v>9</v>
      </c>
      <c r="D13" s="46">
        <v>3</v>
      </c>
      <c r="E13" s="46">
        <v>5</v>
      </c>
      <c r="F13" s="46">
        <v>0</v>
      </c>
      <c r="G13" s="46">
        <v>1</v>
      </c>
      <c r="H13" s="46">
        <v>0</v>
      </c>
      <c r="I13" s="47"/>
    </row>
    <row r="14" spans="1:9">
      <c r="A14" s="48">
        <v>4</v>
      </c>
      <c r="B14" s="49" t="s">
        <v>701</v>
      </c>
      <c r="C14" s="50">
        <v>14</v>
      </c>
      <c r="D14" s="51">
        <v>5</v>
      </c>
      <c r="E14" s="51">
        <v>6</v>
      </c>
      <c r="F14" s="51">
        <v>0</v>
      </c>
      <c r="G14" s="51">
        <v>3</v>
      </c>
      <c r="H14" s="51">
        <v>0</v>
      </c>
      <c r="I14" s="52" t="s">
        <v>702</v>
      </c>
    </row>
    <row r="15" spans="1:9">
      <c r="A15" s="43">
        <v>5</v>
      </c>
      <c r="B15" s="44" t="s">
        <v>703</v>
      </c>
      <c r="C15" s="45">
        <v>5</v>
      </c>
      <c r="D15" s="46">
        <v>2</v>
      </c>
      <c r="E15" s="46">
        <v>2</v>
      </c>
      <c r="F15" s="46">
        <v>0</v>
      </c>
      <c r="G15" s="46">
        <v>1</v>
      </c>
      <c r="H15" s="46">
        <v>0</v>
      </c>
      <c r="I15" s="47" t="s">
        <v>702</v>
      </c>
    </row>
    <row r="16" spans="1:9">
      <c r="A16" s="48">
        <v>6</v>
      </c>
      <c r="B16" s="49" t="s">
        <v>704</v>
      </c>
      <c r="C16" s="50">
        <v>3</v>
      </c>
      <c r="D16" s="51">
        <v>2</v>
      </c>
      <c r="E16" s="51">
        <v>1</v>
      </c>
      <c r="F16" s="51">
        <v>0</v>
      </c>
      <c r="G16" s="51">
        <v>0</v>
      </c>
      <c r="H16" s="51">
        <v>0</v>
      </c>
      <c r="I16" s="52"/>
    </row>
    <row r="17" spans="1:9">
      <c r="A17" s="43">
        <v>7</v>
      </c>
      <c r="B17" s="44" t="s">
        <v>705</v>
      </c>
      <c r="C17" s="45">
        <v>15</v>
      </c>
      <c r="D17" s="46">
        <v>6</v>
      </c>
      <c r="E17" s="46">
        <v>7</v>
      </c>
      <c r="F17" s="46">
        <v>0</v>
      </c>
      <c r="G17" s="46">
        <v>2</v>
      </c>
      <c r="H17" s="46">
        <v>0</v>
      </c>
      <c r="I17" s="47"/>
    </row>
    <row r="18" spans="1:9">
      <c r="A18" s="48">
        <v>8</v>
      </c>
      <c r="B18" s="49" t="s">
        <v>706</v>
      </c>
      <c r="C18" s="50">
        <v>5</v>
      </c>
      <c r="D18" s="51">
        <v>2</v>
      </c>
      <c r="E18" s="51">
        <v>3</v>
      </c>
      <c r="F18" s="51">
        <v>0</v>
      </c>
      <c r="G18" s="51">
        <v>0</v>
      </c>
      <c r="H18" s="51">
        <v>0</v>
      </c>
      <c r="I18" s="52"/>
    </row>
    <row r="19" spans="1:9">
      <c r="A19" s="43">
        <v>9</v>
      </c>
      <c r="B19" s="44" t="s">
        <v>707</v>
      </c>
      <c r="C19" s="45">
        <v>2</v>
      </c>
      <c r="D19" s="46">
        <v>1</v>
      </c>
      <c r="E19" s="46">
        <v>1</v>
      </c>
      <c r="F19" s="46">
        <v>0</v>
      </c>
      <c r="G19" s="46">
        <v>0</v>
      </c>
      <c r="H19" s="46">
        <v>0</v>
      </c>
      <c r="I19" s="47"/>
    </row>
    <row r="20" spans="1:9" ht="18" thickBot="1">
      <c r="A20" s="48">
        <v>10</v>
      </c>
      <c r="B20" s="49" t="s">
        <v>708</v>
      </c>
      <c r="C20" s="50">
        <v>6</v>
      </c>
      <c r="D20" s="51">
        <v>2</v>
      </c>
      <c r="E20" s="51">
        <v>3</v>
      </c>
      <c r="F20" s="51">
        <v>0</v>
      </c>
      <c r="G20" s="51">
        <v>1</v>
      </c>
      <c r="H20" s="51">
        <v>0</v>
      </c>
      <c r="I20" s="52" t="s">
        <v>709</v>
      </c>
    </row>
    <row r="21" spans="1:9" ht="18" thickBot="1">
      <c r="A21" s="53"/>
      <c r="B21" s="54" t="s">
        <v>710</v>
      </c>
      <c r="C21" s="55">
        <f t="shared" ref="C21:H21" si="1">SUM(C11:C20)</f>
        <v>111</v>
      </c>
      <c r="D21" s="55">
        <f t="shared" si="1"/>
        <v>44</v>
      </c>
      <c r="E21" s="55">
        <f t="shared" si="1"/>
        <v>54</v>
      </c>
      <c r="F21" s="55">
        <f t="shared" si="1"/>
        <v>1</v>
      </c>
      <c r="G21" s="55">
        <f t="shared" si="1"/>
        <v>12</v>
      </c>
      <c r="H21" s="55">
        <f t="shared" si="1"/>
        <v>0</v>
      </c>
      <c r="I21" s="53"/>
    </row>
    <row r="22" spans="1:9" ht="18" thickTop="1"/>
  </sheetData>
  <mergeCells count="4">
    <mergeCell ref="A1:I1"/>
    <mergeCell ref="A2:I2"/>
    <mergeCell ref="A4:I4"/>
    <mergeCell ref="A9:I9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7.399999999999999"/>
  <cols>
    <col min="1" max="1" width="8.796875" style="1" customWidth="1"/>
    <col min="2" max="2" width="24.09765625" style="1" bestFit="1" customWidth="1"/>
    <col min="3" max="3" width="8.796875" style="1" customWidth="1"/>
    <col min="4" max="4" width="25.8984375" style="1" bestFit="1" customWidth="1"/>
    <col min="5" max="5" width="25.19921875" style="1" bestFit="1" customWidth="1"/>
    <col min="6" max="7" width="8.796875" style="1" customWidth="1"/>
    <col min="8" max="8" width="10.3984375" style="1" bestFit="1" customWidth="1"/>
    <col min="9" max="14" width="8.796875" style="1" customWidth="1"/>
    <col min="15" max="17" width="10.3984375" style="1" bestFit="1" customWidth="1"/>
    <col min="18" max="18" width="8.796875" style="1" customWidth="1"/>
    <col min="19" max="20" width="10.3984375" style="1" bestFit="1" customWidth="1"/>
    <col min="21" max="21" width="8.69921875" style="1" bestFit="1" customWidth="1"/>
    <col min="22" max="26" width="8.796875" style="1" customWidth="1"/>
  </cols>
  <sheetData>
    <row r="1" spans="2:25">
      <c r="D1" s="1">
        <v>140</v>
      </c>
      <c r="E1" s="1">
        <v>165</v>
      </c>
    </row>
    <row r="2" spans="2:25">
      <c r="B2" s="1" t="s">
        <v>246</v>
      </c>
      <c r="C2" s="1" t="s">
        <v>0</v>
      </c>
      <c r="D2" s="1" t="s">
        <v>247</v>
      </c>
      <c r="E2" s="1" t="s">
        <v>2</v>
      </c>
      <c r="F2" s="1" t="s">
        <v>248</v>
      </c>
      <c r="G2" s="1" t="s">
        <v>3</v>
      </c>
      <c r="H2" s="1" t="s">
        <v>1</v>
      </c>
      <c r="I2" s="1" t="s">
        <v>137</v>
      </c>
      <c r="J2" s="1" t="s">
        <v>8</v>
      </c>
      <c r="K2" s="1" t="s">
        <v>249</v>
      </c>
      <c r="L2" s="1" t="s">
        <v>250</v>
      </c>
      <c r="M2" s="1" t="s">
        <v>251</v>
      </c>
      <c r="N2" s="1" t="s">
        <v>53</v>
      </c>
      <c r="O2" s="1" t="s">
        <v>145</v>
      </c>
      <c r="P2" s="1" t="s">
        <v>252</v>
      </c>
      <c r="Q2" s="1" t="s">
        <v>49</v>
      </c>
      <c r="R2" s="1" t="s">
        <v>253</v>
      </c>
      <c r="S2" s="1" t="s">
        <v>147</v>
      </c>
      <c r="T2" s="1" t="s">
        <v>47</v>
      </c>
      <c r="U2" s="1" t="s">
        <v>254</v>
      </c>
      <c r="V2" s="1" t="s">
        <v>255</v>
      </c>
      <c r="W2" s="1" t="s">
        <v>256</v>
      </c>
      <c r="X2" s="1" t="s">
        <v>84</v>
      </c>
      <c r="Y2" s="1" t="s">
        <v>87</v>
      </c>
    </row>
    <row r="4" spans="2:25">
      <c r="B4" s="1" t="s">
        <v>6</v>
      </c>
      <c r="C4" s="1" t="s">
        <v>7</v>
      </c>
      <c r="D4" s="1" t="s">
        <v>257</v>
      </c>
      <c r="E4" s="1" t="s">
        <v>258</v>
      </c>
      <c r="F4" s="1" t="s">
        <v>150</v>
      </c>
      <c r="G4" s="1" t="s">
        <v>259</v>
      </c>
      <c r="H4" s="1" t="s">
        <v>137</v>
      </c>
      <c r="I4" s="1" t="s">
        <v>260</v>
      </c>
      <c r="J4" s="1" t="s">
        <v>261</v>
      </c>
      <c r="K4" s="1" t="s">
        <v>262</v>
      </c>
      <c r="L4" s="1" t="s">
        <v>263</v>
      </c>
      <c r="M4" s="1" t="s">
        <v>264</v>
      </c>
      <c r="N4" s="1" t="s">
        <v>265</v>
      </c>
      <c r="O4" s="1" t="s">
        <v>148</v>
      </c>
      <c r="P4" s="1" t="s">
        <v>265</v>
      </c>
      <c r="Q4" s="1" t="s">
        <v>266</v>
      </c>
      <c r="R4" s="1" t="s">
        <v>267</v>
      </c>
      <c r="S4" s="1" t="s">
        <v>265</v>
      </c>
      <c r="T4" s="1" t="s">
        <v>265</v>
      </c>
      <c r="U4" s="1" t="s">
        <v>268</v>
      </c>
      <c r="V4" s="1" t="s">
        <v>269</v>
      </c>
      <c r="W4" s="1" t="s">
        <v>270</v>
      </c>
      <c r="X4" s="1" t="s">
        <v>271</v>
      </c>
      <c r="Y4" s="1" t="s">
        <v>143</v>
      </c>
    </row>
    <row r="5" spans="2:25">
      <c r="B5" s="1" t="s">
        <v>272</v>
      </c>
      <c r="C5" s="1" t="s">
        <v>12</v>
      </c>
      <c r="D5" s="1" t="s">
        <v>273</v>
      </c>
      <c r="E5" s="1" t="s">
        <v>79</v>
      </c>
      <c r="F5" s="1" t="s">
        <v>144</v>
      </c>
      <c r="G5" s="1" t="s">
        <v>274</v>
      </c>
      <c r="H5" s="1" t="s">
        <v>8</v>
      </c>
      <c r="I5" s="1" t="s">
        <v>275</v>
      </c>
      <c r="J5" s="1" t="s">
        <v>276</v>
      </c>
      <c r="K5" s="1" t="s">
        <v>277</v>
      </c>
      <c r="L5" s="1" t="s">
        <v>278</v>
      </c>
      <c r="M5" s="1" t="s">
        <v>279</v>
      </c>
      <c r="N5" s="1" t="s">
        <v>148</v>
      </c>
      <c r="O5" s="1" t="s">
        <v>265</v>
      </c>
      <c r="P5" s="1" t="s">
        <v>56</v>
      </c>
      <c r="Q5" s="1" t="s">
        <v>265</v>
      </c>
      <c r="R5" s="1" t="s">
        <v>280</v>
      </c>
      <c r="S5" s="1" t="s">
        <v>279</v>
      </c>
      <c r="T5" s="1" t="s">
        <v>148</v>
      </c>
      <c r="U5" s="1" t="s">
        <v>281</v>
      </c>
      <c r="V5" s="1" t="s">
        <v>282</v>
      </c>
      <c r="W5" s="1" t="s">
        <v>283</v>
      </c>
      <c r="X5" s="1" t="s">
        <v>284</v>
      </c>
      <c r="Y5" s="1" t="s">
        <v>285</v>
      </c>
    </row>
    <row r="6" spans="2:25">
      <c r="B6" s="1" t="s">
        <v>286</v>
      </c>
      <c r="D6" s="1" t="s">
        <v>287</v>
      </c>
      <c r="E6" s="1" t="s">
        <v>288</v>
      </c>
      <c r="H6" s="1" t="s">
        <v>249</v>
      </c>
      <c r="I6" s="1" t="s">
        <v>289</v>
      </c>
      <c r="J6" s="1" t="s">
        <v>57</v>
      </c>
      <c r="K6" s="1" t="s">
        <v>290</v>
      </c>
      <c r="L6" s="1" t="s">
        <v>291</v>
      </c>
      <c r="M6" s="1" t="s">
        <v>148</v>
      </c>
      <c r="N6" s="1" t="s">
        <v>56</v>
      </c>
      <c r="O6" s="1" t="s">
        <v>56</v>
      </c>
      <c r="P6" s="1" t="s">
        <v>148</v>
      </c>
      <c r="Q6" s="1" t="s">
        <v>292</v>
      </c>
      <c r="R6" s="1" t="s">
        <v>293</v>
      </c>
      <c r="S6" s="1" t="s">
        <v>148</v>
      </c>
      <c r="T6" s="1" t="s">
        <v>294</v>
      </c>
      <c r="U6" s="1" t="s">
        <v>295</v>
      </c>
      <c r="V6" s="1" t="s">
        <v>296</v>
      </c>
      <c r="X6" s="1" t="s">
        <v>297</v>
      </c>
      <c r="Y6" s="1" t="s">
        <v>298</v>
      </c>
    </row>
    <row r="7" spans="2:25">
      <c r="B7" s="1" t="s">
        <v>299</v>
      </c>
      <c r="D7" s="1" t="s">
        <v>16</v>
      </c>
      <c r="E7" s="1" t="s">
        <v>91</v>
      </c>
      <c r="H7" s="1" t="s">
        <v>250</v>
      </c>
      <c r="I7" s="1" t="s">
        <v>300</v>
      </c>
      <c r="J7" s="1" t="s">
        <v>127</v>
      </c>
      <c r="K7" s="1" t="s">
        <v>301</v>
      </c>
      <c r="L7" s="1" t="s">
        <v>302</v>
      </c>
      <c r="M7" s="1" t="s">
        <v>56</v>
      </c>
      <c r="N7" s="1" t="s">
        <v>279</v>
      </c>
      <c r="O7" s="1" t="s">
        <v>146</v>
      </c>
      <c r="P7" s="1" t="s">
        <v>303</v>
      </c>
      <c r="Q7" s="1" t="s">
        <v>304</v>
      </c>
      <c r="R7" s="1" t="s">
        <v>305</v>
      </c>
      <c r="S7" s="1" t="s">
        <v>306</v>
      </c>
      <c r="T7" s="1" t="s">
        <v>307</v>
      </c>
      <c r="U7" s="1" t="s">
        <v>308</v>
      </c>
      <c r="V7" s="1" t="s">
        <v>309</v>
      </c>
      <c r="X7" s="1" t="s">
        <v>310</v>
      </c>
      <c r="Y7" s="1" t="s">
        <v>311</v>
      </c>
    </row>
    <row r="8" spans="2:25">
      <c r="B8" s="1" t="s">
        <v>312</v>
      </c>
      <c r="D8" s="1" t="s">
        <v>65</v>
      </c>
      <c r="E8" s="1" t="s">
        <v>111</v>
      </c>
      <c r="H8" s="1" t="s">
        <v>251</v>
      </c>
      <c r="I8" s="1" t="s">
        <v>313</v>
      </c>
      <c r="J8" s="1" t="s">
        <v>46</v>
      </c>
      <c r="K8" s="1" t="s">
        <v>314</v>
      </c>
      <c r="L8" s="1" t="s">
        <v>315</v>
      </c>
      <c r="M8" s="1" t="s">
        <v>306</v>
      </c>
      <c r="N8" s="1" t="s">
        <v>306</v>
      </c>
      <c r="O8" s="1" t="s">
        <v>316</v>
      </c>
      <c r="P8" s="1" t="s">
        <v>317</v>
      </c>
      <c r="Q8" s="1" t="s">
        <v>318</v>
      </c>
      <c r="R8" s="1" t="s">
        <v>319</v>
      </c>
      <c r="S8" s="1" t="s">
        <v>320</v>
      </c>
      <c r="T8" s="1" t="s">
        <v>321</v>
      </c>
      <c r="U8" s="1" t="s">
        <v>322</v>
      </c>
      <c r="V8" s="1" t="s">
        <v>323</v>
      </c>
      <c r="X8" s="1" t="s">
        <v>324</v>
      </c>
      <c r="Y8" s="1" t="s">
        <v>325</v>
      </c>
    </row>
    <row r="9" spans="2:25">
      <c r="B9" s="1" t="s">
        <v>326</v>
      </c>
      <c r="D9" s="1" t="s">
        <v>110</v>
      </c>
      <c r="E9" s="1" t="s">
        <v>327</v>
      </c>
      <c r="H9" s="1" t="s">
        <v>53</v>
      </c>
      <c r="I9" s="1" t="s">
        <v>328</v>
      </c>
      <c r="J9" s="1" t="s">
        <v>329</v>
      </c>
      <c r="K9" s="1" t="s">
        <v>330</v>
      </c>
      <c r="L9" s="1" t="s">
        <v>331</v>
      </c>
      <c r="N9" s="1" t="s">
        <v>332</v>
      </c>
      <c r="P9" s="1" t="s">
        <v>333</v>
      </c>
      <c r="Q9" s="1" t="s">
        <v>334</v>
      </c>
      <c r="R9" s="1" t="s">
        <v>335</v>
      </c>
      <c r="T9" s="1" t="s">
        <v>336</v>
      </c>
      <c r="U9" s="1" t="s">
        <v>337</v>
      </c>
      <c r="V9" s="1" t="s">
        <v>338</v>
      </c>
      <c r="X9" s="1" t="s">
        <v>339</v>
      </c>
      <c r="Y9" s="1" t="s">
        <v>340</v>
      </c>
    </row>
    <row r="10" spans="2:25">
      <c r="B10" s="1" t="s">
        <v>341</v>
      </c>
      <c r="D10" s="1" t="s">
        <v>114</v>
      </c>
      <c r="E10" s="1" t="s">
        <v>17</v>
      </c>
      <c r="H10" s="1" t="s">
        <v>145</v>
      </c>
      <c r="I10" s="1" t="s">
        <v>342</v>
      </c>
      <c r="J10" s="1" t="s">
        <v>80</v>
      </c>
      <c r="K10" s="1" t="s">
        <v>343</v>
      </c>
      <c r="L10" s="1" t="s">
        <v>344</v>
      </c>
      <c r="N10" s="1" t="s">
        <v>345</v>
      </c>
      <c r="P10" s="1" t="s">
        <v>279</v>
      </c>
      <c r="Q10" s="1" t="s">
        <v>346</v>
      </c>
      <c r="R10" s="1" t="s">
        <v>347</v>
      </c>
      <c r="T10" s="1" t="s">
        <v>348</v>
      </c>
      <c r="U10" s="1" t="s">
        <v>349</v>
      </c>
      <c r="V10" s="1" t="s">
        <v>350</v>
      </c>
      <c r="X10" s="1" t="s">
        <v>351</v>
      </c>
      <c r="Y10" s="1" t="s">
        <v>352</v>
      </c>
    </row>
    <row r="11" spans="2:25">
      <c r="B11" s="1" t="s">
        <v>353</v>
      </c>
      <c r="D11" s="1" t="s">
        <v>354</v>
      </c>
      <c r="E11" s="1" t="s">
        <v>355</v>
      </c>
      <c r="H11" s="1" t="s">
        <v>252</v>
      </c>
      <c r="I11" s="1" t="s">
        <v>356</v>
      </c>
      <c r="J11" s="1" t="s">
        <v>357</v>
      </c>
      <c r="K11" s="1" t="s">
        <v>358</v>
      </c>
      <c r="L11" s="1" t="s">
        <v>359</v>
      </c>
      <c r="N11" s="1" t="s">
        <v>360</v>
      </c>
      <c r="P11" s="1" t="s">
        <v>306</v>
      </c>
      <c r="Q11" s="1" t="s">
        <v>361</v>
      </c>
      <c r="R11" s="1" t="s">
        <v>362</v>
      </c>
      <c r="T11" s="1" t="s">
        <v>56</v>
      </c>
      <c r="U11" s="1" t="s">
        <v>363</v>
      </c>
      <c r="V11" s="1" t="s">
        <v>364</v>
      </c>
      <c r="X11" s="1" t="s">
        <v>365</v>
      </c>
      <c r="Y11" s="1" t="s">
        <v>366</v>
      </c>
    </row>
    <row r="12" spans="2:25">
      <c r="B12" s="1" t="s">
        <v>367</v>
      </c>
      <c r="D12" s="1" t="s">
        <v>368</v>
      </c>
      <c r="E12" s="1" t="s">
        <v>369</v>
      </c>
      <c r="H12" s="1" t="s">
        <v>49</v>
      </c>
      <c r="I12" s="1" t="s">
        <v>370</v>
      </c>
      <c r="J12" s="1" t="s">
        <v>149</v>
      </c>
      <c r="K12" s="1" t="s">
        <v>371</v>
      </c>
      <c r="L12" s="1" t="s">
        <v>372</v>
      </c>
      <c r="N12" s="1" t="s">
        <v>373</v>
      </c>
      <c r="P12" s="1" t="s">
        <v>374</v>
      </c>
      <c r="Q12" s="1" t="s">
        <v>375</v>
      </c>
      <c r="R12" s="1" t="s">
        <v>376</v>
      </c>
      <c r="T12" s="1" t="s">
        <v>377</v>
      </c>
      <c r="U12" s="1" t="s">
        <v>378</v>
      </c>
      <c r="V12" s="1" t="s">
        <v>379</v>
      </c>
      <c r="X12" s="1" t="s">
        <v>380</v>
      </c>
      <c r="Y12" s="1" t="s">
        <v>381</v>
      </c>
    </row>
    <row r="13" spans="2:25">
      <c r="B13" s="1" t="s">
        <v>382</v>
      </c>
      <c r="D13" s="1" t="s">
        <v>81</v>
      </c>
      <c r="E13" s="1" t="s">
        <v>383</v>
      </c>
      <c r="H13" s="1" t="s">
        <v>253</v>
      </c>
      <c r="I13" s="1" t="s">
        <v>384</v>
      </c>
      <c r="J13" s="1" t="s">
        <v>385</v>
      </c>
      <c r="K13" s="1" t="s">
        <v>386</v>
      </c>
      <c r="L13" s="1" t="s">
        <v>387</v>
      </c>
      <c r="P13" s="1" t="s">
        <v>388</v>
      </c>
      <c r="Q13" s="1" t="s">
        <v>389</v>
      </c>
      <c r="R13" s="1" t="s">
        <v>390</v>
      </c>
      <c r="T13" s="1" t="s">
        <v>391</v>
      </c>
      <c r="U13" s="1" t="s">
        <v>392</v>
      </c>
      <c r="V13" s="1" t="s">
        <v>393</v>
      </c>
      <c r="X13" s="1" t="s">
        <v>394</v>
      </c>
      <c r="Y13" s="1" t="s">
        <v>395</v>
      </c>
    </row>
    <row r="14" spans="2:25">
      <c r="D14" s="1" t="s">
        <v>396</v>
      </c>
      <c r="E14" s="1" t="s">
        <v>397</v>
      </c>
      <c r="H14" s="1" t="s">
        <v>147</v>
      </c>
      <c r="I14" s="1" t="s">
        <v>398</v>
      </c>
      <c r="J14" s="1" t="s">
        <v>399</v>
      </c>
      <c r="K14" s="1" t="s">
        <v>400</v>
      </c>
      <c r="L14" s="1" t="s">
        <v>401</v>
      </c>
      <c r="P14" s="1" t="s">
        <v>402</v>
      </c>
      <c r="Q14" s="1" t="s">
        <v>403</v>
      </c>
      <c r="R14" s="1" t="s">
        <v>404</v>
      </c>
      <c r="T14" s="1" t="s">
        <v>405</v>
      </c>
      <c r="U14" s="1" t="s">
        <v>406</v>
      </c>
      <c r="V14" s="1" t="s">
        <v>407</v>
      </c>
      <c r="X14" s="1" t="s">
        <v>408</v>
      </c>
      <c r="Y14" s="1" t="s">
        <v>409</v>
      </c>
    </row>
    <row r="15" spans="2:25">
      <c r="D15" s="1" t="s">
        <v>410</v>
      </c>
      <c r="E15" s="1" t="s">
        <v>38</v>
      </c>
      <c r="H15" s="1" t="s">
        <v>47</v>
      </c>
      <c r="I15" s="1" t="s">
        <v>411</v>
      </c>
      <c r="J15" s="1" t="s">
        <v>37</v>
      </c>
      <c r="K15" s="1" t="s">
        <v>412</v>
      </c>
      <c r="L15" s="1" t="s">
        <v>413</v>
      </c>
      <c r="P15" s="1" t="s">
        <v>414</v>
      </c>
      <c r="Q15" s="1" t="s">
        <v>415</v>
      </c>
      <c r="R15" s="1" t="s">
        <v>416</v>
      </c>
      <c r="T15" s="1" t="s">
        <v>417</v>
      </c>
      <c r="U15" s="1" t="s">
        <v>418</v>
      </c>
      <c r="V15" s="1" t="s">
        <v>419</v>
      </c>
      <c r="X15" s="1" t="s">
        <v>420</v>
      </c>
    </row>
    <row r="16" spans="2:25">
      <c r="D16" s="1" t="s">
        <v>421</v>
      </c>
      <c r="E16" s="1" t="s">
        <v>422</v>
      </c>
      <c r="H16" s="1" t="s">
        <v>254</v>
      </c>
      <c r="I16" s="1" t="s">
        <v>423</v>
      </c>
      <c r="J16" s="1" t="s">
        <v>11</v>
      </c>
      <c r="K16" s="1" t="s">
        <v>424</v>
      </c>
      <c r="L16" s="1" t="s">
        <v>425</v>
      </c>
      <c r="P16" s="1" t="s">
        <v>426</v>
      </c>
      <c r="Q16" s="1" t="s">
        <v>427</v>
      </c>
      <c r="R16" s="1" t="s">
        <v>428</v>
      </c>
      <c r="T16" s="1" t="s">
        <v>429</v>
      </c>
      <c r="U16" s="1" t="s">
        <v>430</v>
      </c>
      <c r="V16" s="1" t="s">
        <v>431</v>
      </c>
      <c r="X16" s="1" t="s">
        <v>432</v>
      </c>
    </row>
    <row r="17" spans="4:24">
      <c r="D17" s="1" t="s">
        <v>433</v>
      </c>
      <c r="E17" s="1" t="s">
        <v>434</v>
      </c>
      <c r="H17" s="1" t="s">
        <v>255</v>
      </c>
      <c r="I17" s="1" t="s">
        <v>435</v>
      </c>
      <c r="J17" s="1" t="s">
        <v>21</v>
      </c>
      <c r="K17" s="1" t="s">
        <v>436</v>
      </c>
      <c r="L17" s="1" t="s">
        <v>437</v>
      </c>
      <c r="P17" s="1" t="s">
        <v>438</v>
      </c>
      <c r="Q17" s="1" t="s">
        <v>439</v>
      </c>
      <c r="R17" s="1" t="s">
        <v>440</v>
      </c>
      <c r="T17" s="1" t="s">
        <v>441</v>
      </c>
      <c r="U17" s="1" t="s">
        <v>442</v>
      </c>
      <c r="V17" s="1" t="s">
        <v>443</v>
      </c>
      <c r="X17" s="1" t="s">
        <v>444</v>
      </c>
    </row>
    <row r="18" spans="4:24">
      <c r="D18" s="1" t="s">
        <v>19</v>
      </c>
      <c r="E18" s="1" t="s">
        <v>445</v>
      </c>
      <c r="H18" s="1" t="s">
        <v>256</v>
      </c>
      <c r="I18" s="1" t="s">
        <v>446</v>
      </c>
      <c r="J18" s="1" t="s">
        <v>107</v>
      </c>
      <c r="K18" s="1" t="s">
        <v>447</v>
      </c>
      <c r="L18" s="1" t="s">
        <v>448</v>
      </c>
      <c r="P18" s="1" t="s">
        <v>449</v>
      </c>
      <c r="Q18" s="1" t="s">
        <v>450</v>
      </c>
      <c r="R18" s="1" t="s">
        <v>451</v>
      </c>
      <c r="U18" s="1" t="s">
        <v>452</v>
      </c>
    </row>
    <row r="19" spans="4:24">
      <c r="D19" s="1" t="s">
        <v>453</v>
      </c>
      <c r="E19" s="1" t="s">
        <v>454</v>
      </c>
      <c r="H19" s="1" t="s">
        <v>84</v>
      </c>
      <c r="I19" s="1" t="s">
        <v>455</v>
      </c>
      <c r="J19" s="1" t="s">
        <v>92</v>
      </c>
      <c r="K19" s="1" t="s">
        <v>456</v>
      </c>
      <c r="L19" s="1" t="s">
        <v>457</v>
      </c>
      <c r="P19" s="1" t="s">
        <v>458</v>
      </c>
      <c r="Q19" s="1" t="s">
        <v>414</v>
      </c>
      <c r="R19" s="1" t="s">
        <v>459</v>
      </c>
      <c r="U19" s="1" t="s">
        <v>460</v>
      </c>
    </row>
    <row r="20" spans="4:24">
      <c r="D20" s="1" t="s">
        <v>228</v>
      </c>
      <c r="E20" s="1" t="s">
        <v>461</v>
      </c>
      <c r="H20" s="1" t="s">
        <v>87</v>
      </c>
      <c r="I20" s="1" t="s">
        <v>412</v>
      </c>
      <c r="J20" s="1" t="s">
        <v>31</v>
      </c>
      <c r="K20" s="1" t="s">
        <v>462</v>
      </c>
      <c r="L20" s="1" t="s">
        <v>463</v>
      </c>
      <c r="Q20" s="1" t="s">
        <v>464</v>
      </c>
      <c r="R20" s="1" t="s">
        <v>465</v>
      </c>
      <c r="U20" s="1" t="s">
        <v>466</v>
      </c>
    </row>
    <row r="21" spans="4:24">
      <c r="D21" s="1" t="s">
        <v>467</v>
      </c>
      <c r="E21" s="1" t="s">
        <v>468</v>
      </c>
      <c r="I21" s="1" t="s">
        <v>469</v>
      </c>
      <c r="J21" s="1" t="s">
        <v>470</v>
      </c>
      <c r="K21" s="1" t="s">
        <v>471</v>
      </c>
      <c r="L21" s="1" t="s">
        <v>472</v>
      </c>
      <c r="Q21" s="1" t="s">
        <v>473</v>
      </c>
      <c r="R21" s="1" t="s">
        <v>474</v>
      </c>
      <c r="U21" s="1" t="s">
        <v>475</v>
      </c>
    </row>
    <row r="22" spans="4:24">
      <c r="D22" s="1" t="s">
        <v>41</v>
      </c>
      <c r="E22" s="1" t="s">
        <v>476</v>
      </c>
      <c r="J22" s="1" t="s">
        <v>117</v>
      </c>
      <c r="L22" s="1" t="s">
        <v>477</v>
      </c>
      <c r="Q22" s="1" t="s">
        <v>103</v>
      </c>
      <c r="R22" s="1" t="s">
        <v>478</v>
      </c>
      <c r="U22" s="1" t="s">
        <v>479</v>
      </c>
    </row>
    <row r="23" spans="4:24">
      <c r="D23" s="1" t="s">
        <v>480</v>
      </c>
      <c r="E23" s="1" t="s">
        <v>481</v>
      </c>
      <c r="J23" s="1" t="s">
        <v>55</v>
      </c>
      <c r="L23" s="1" t="s">
        <v>482</v>
      </c>
      <c r="Q23" s="1" t="s">
        <v>483</v>
      </c>
      <c r="R23" s="1" t="s">
        <v>484</v>
      </c>
      <c r="U23" s="1" t="s">
        <v>485</v>
      </c>
    </row>
    <row r="24" spans="4:24">
      <c r="D24" s="1" t="s">
        <v>27</v>
      </c>
      <c r="E24" s="1" t="s">
        <v>141</v>
      </c>
      <c r="J24" s="1" t="s">
        <v>486</v>
      </c>
      <c r="L24" s="1" t="s">
        <v>487</v>
      </c>
      <c r="Q24" s="1" t="s">
        <v>488</v>
      </c>
      <c r="R24" s="1" t="s">
        <v>489</v>
      </c>
      <c r="U24" s="1" t="s">
        <v>490</v>
      </c>
    </row>
    <row r="25" spans="4:24">
      <c r="D25" s="1" t="s">
        <v>35</v>
      </c>
      <c r="E25" s="1" t="s">
        <v>491</v>
      </c>
      <c r="J25" s="1" t="s">
        <v>26</v>
      </c>
      <c r="L25" s="1" t="s">
        <v>492</v>
      </c>
      <c r="Q25" s="1" t="s">
        <v>119</v>
      </c>
      <c r="R25" s="1" t="s">
        <v>493</v>
      </c>
      <c r="U25" s="1" t="s">
        <v>494</v>
      </c>
    </row>
    <row r="26" spans="4:24">
      <c r="D26" s="1" t="s">
        <v>495</v>
      </c>
      <c r="E26" s="1" t="s">
        <v>64</v>
      </c>
      <c r="J26" s="1" t="s">
        <v>69</v>
      </c>
      <c r="Q26" s="1" t="s">
        <v>496</v>
      </c>
      <c r="R26" s="1" t="s">
        <v>497</v>
      </c>
    </row>
    <row r="27" spans="4:24">
      <c r="D27" s="1" t="s">
        <v>71</v>
      </c>
      <c r="E27" s="1" t="s">
        <v>498</v>
      </c>
      <c r="J27" s="1" t="s">
        <v>67</v>
      </c>
      <c r="Q27" s="1" t="s">
        <v>499</v>
      </c>
      <c r="R27" s="1" t="s">
        <v>500</v>
      </c>
    </row>
    <row r="28" spans="4:24">
      <c r="D28" s="1" t="s">
        <v>501</v>
      </c>
      <c r="E28" s="1" t="s">
        <v>502</v>
      </c>
      <c r="J28" s="1" t="s">
        <v>503</v>
      </c>
      <c r="Q28" s="1" t="s">
        <v>504</v>
      </c>
      <c r="R28" s="1" t="s">
        <v>244</v>
      </c>
    </row>
    <row r="29" spans="4:24">
      <c r="D29" s="1" t="s">
        <v>505</v>
      </c>
      <c r="E29" s="1" t="s">
        <v>96</v>
      </c>
      <c r="J29" s="1" t="s">
        <v>34</v>
      </c>
    </row>
    <row r="30" spans="4:24">
      <c r="D30" s="1" t="s">
        <v>506</v>
      </c>
      <c r="E30" s="1" t="s">
        <v>507</v>
      </c>
      <c r="J30" s="1" t="s">
        <v>508</v>
      </c>
    </row>
    <row r="31" spans="4:24">
      <c r="D31" s="1" t="s">
        <v>509</v>
      </c>
      <c r="E31" s="1" t="s">
        <v>510</v>
      </c>
      <c r="J31" s="1" t="s">
        <v>15</v>
      </c>
    </row>
    <row r="32" spans="4:24">
      <c r="D32" s="1" t="s">
        <v>511</v>
      </c>
      <c r="E32" s="1" t="s">
        <v>512</v>
      </c>
      <c r="J32" s="1" t="s">
        <v>513</v>
      </c>
    </row>
    <row r="33" spans="4:10">
      <c r="D33" s="1" t="s">
        <v>76</v>
      </c>
      <c r="E33" s="1" t="s">
        <v>514</v>
      </c>
      <c r="J33" s="1" t="s">
        <v>515</v>
      </c>
    </row>
    <row r="34" spans="4:10">
      <c r="D34" s="1" t="s">
        <v>99</v>
      </c>
      <c r="E34" s="1" t="s">
        <v>516</v>
      </c>
      <c r="J34" s="1" t="s">
        <v>18</v>
      </c>
    </row>
    <row r="35" spans="4:10">
      <c r="D35" s="1" t="s">
        <v>97</v>
      </c>
      <c r="E35" s="1" t="s">
        <v>33</v>
      </c>
    </row>
    <row r="36" spans="4:10">
      <c r="D36" s="1" t="s">
        <v>32</v>
      </c>
      <c r="E36" s="1" t="s">
        <v>517</v>
      </c>
    </row>
    <row r="37" spans="4:10">
      <c r="D37" s="1" t="s">
        <v>518</v>
      </c>
      <c r="E37" s="1" t="s">
        <v>519</v>
      </c>
    </row>
    <row r="38" spans="4:10">
      <c r="D38" s="1" t="s">
        <v>115</v>
      </c>
      <c r="E38" s="1" t="s">
        <v>520</v>
      </c>
    </row>
    <row r="39" spans="4:10">
      <c r="D39" s="1" t="s">
        <v>521</v>
      </c>
      <c r="E39" s="1" t="s">
        <v>522</v>
      </c>
    </row>
    <row r="40" spans="4:10">
      <c r="D40" s="1" t="s">
        <v>131</v>
      </c>
      <c r="E40" s="1" t="s">
        <v>523</v>
      </c>
    </row>
    <row r="41" spans="4:10">
      <c r="D41" s="1" t="s">
        <v>524</v>
      </c>
      <c r="E41" s="1" t="s">
        <v>525</v>
      </c>
    </row>
    <row r="42" spans="4:10">
      <c r="D42" s="1" t="s">
        <v>134</v>
      </c>
      <c r="E42" s="1" t="s">
        <v>526</v>
      </c>
    </row>
    <row r="43" spans="4:10">
      <c r="D43" s="1" t="s">
        <v>527</v>
      </c>
      <c r="E43" s="1" t="s">
        <v>528</v>
      </c>
    </row>
    <row r="44" spans="4:10">
      <c r="D44" s="1" t="s">
        <v>95</v>
      </c>
      <c r="E44" s="1" t="s">
        <v>529</v>
      </c>
    </row>
    <row r="45" spans="4:10">
      <c r="D45" s="1" t="s">
        <v>530</v>
      </c>
      <c r="E45" s="1" t="s">
        <v>531</v>
      </c>
    </row>
    <row r="46" spans="4:10">
      <c r="D46" s="1" t="s">
        <v>138</v>
      </c>
      <c r="E46" s="1" t="s">
        <v>532</v>
      </c>
    </row>
    <row r="47" spans="4:10">
      <c r="D47" s="1" t="s">
        <v>533</v>
      </c>
      <c r="E47" s="1" t="s">
        <v>534</v>
      </c>
    </row>
    <row r="48" spans="4:10">
      <c r="D48" s="1" t="s">
        <v>112</v>
      </c>
      <c r="E48" s="1" t="s">
        <v>535</v>
      </c>
    </row>
    <row r="49" spans="4:5">
      <c r="D49" s="1" t="s">
        <v>29</v>
      </c>
      <c r="E49" s="1" t="s">
        <v>536</v>
      </c>
    </row>
    <row r="50" spans="4:5">
      <c r="D50" s="1" t="s">
        <v>74</v>
      </c>
      <c r="E50" s="1" t="s">
        <v>537</v>
      </c>
    </row>
    <row r="51" spans="4:5">
      <c r="D51" s="1" t="s">
        <v>538</v>
      </c>
      <c r="E51" s="1" t="s">
        <v>539</v>
      </c>
    </row>
    <row r="52" spans="4:5">
      <c r="D52" s="1" t="s">
        <v>540</v>
      </c>
      <c r="E52" s="1" t="s">
        <v>541</v>
      </c>
    </row>
    <row r="53" spans="4:5">
      <c r="D53" s="1" t="s">
        <v>542</v>
      </c>
      <c r="E53" s="1" t="s">
        <v>543</v>
      </c>
    </row>
    <row r="54" spans="4:5">
      <c r="D54" s="1" t="s">
        <v>60</v>
      </c>
      <c r="E54" s="1" t="s">
        <v>544</v>
      </c>
    </row>
    <row r="55" spans="4:5">
      <c r="D55" s="1" t="s">
        <v>545</v>
      </c>
      <c r="E55" s="1" t="s">
        <v>546</v>
      </c>
    </row>
    <row r="56" spans="4:5">
      <c r="D56" s="1" t="s">
        <v>89</v>
      </c>
      <c r="E56" s="1" t="s">
        <v>94</v>
      </c>
    </row>
    <row r="57" spans="4:5">
      <c r="D57" s="1" t="s">
        <v>36</v>
      </c>
      <c r="E57" s="1" t="s">
        <v>128</v>
      </c>
    </row>
    <row r="58" spans="4:5">
      <c r="D58" s="1" t="s">
        <v>547</v>
      </c>
      <c r="E58" s="1" t="s">
        <v>548</v>
      </c>
    </row>
    <row r="59" spans="4:5">
      <c r="D59" s="1" t="s">
        <v>549</v>
      </c>
      <c r="E59" s="1" t="s">
        <v>54</v>
      </c>
    </row>
    <row r="60" spans="4:5">
      <c r="D60" s="1" t="s">
        <v>550</v>
      </c>
      <c r="E60" s="1" t="s">
        <v>551</v>
      </c>
    </row>
    <row r="61" spans="4:5">
      <c r="D61" s="1" t="s">
        <v>552</v>
      </c>
      <c r="E61" s="1" t="s">
        <v>553</v>
      </c>
    </row>
    <row r="62" spans="4:5">
      <c r="D62" s="1" t="s">
        <v>554</v>
      </c>
      <c r="E62" s="1" t="s">
        <v>133</v>
      </c>
    </row>
    <row r="63" spans="4:5">
      <c r="D63" s="1" t="s">
        <v>555</v>
      </c>
      <c r="E63" s="1" t="s">
        <v>556</v>
      </c>
    </row>
    <row r="64" spans="4:5">
      <c r="D64" s="1" t="s">
        <v>557</v>
      </c>
      <c r="E64" s="1" t="s">
        <v>558</v>
      </c>
    </row>
    <row r="65" spans="4:5">
      <c r="D65" s="1" t="s">
        <v>559</v>
      </c>
      <c r="E65" s="1" t="s">
        <v>560</v>
      </c>
    </row>
    <row r="66" spans="4:5">
      <c r="D66" s="1" t="s">
        <v>132</v>
      </c>
      <c r="E66" s="1" t="s">
        <v>561</v>
      </c>
    </row>
    <row r="67" spans="4:5">
      <c r="D67" s="1" t="s">
        <v>562</v>
      </c>
      <c r="E67" s="1" t="s">
        <v>98</v>
      </c>
    </row>
    <row r="68" spans="4:5">
      <c r="D68" s="1" t="s">
        <v>563</v>
      </c>
      <c r="E68" s="1" t="s">
        <v>45</v>
      </c>
    </row>
    <row r="69" spans="4:5">
      <c r="D69" s="1" t="s">
        <v>564</v>
      </c>
      <c r="E69" s="1" t="s">
        <v>565</v>
      </c>
    </row>
    <row r="70" spans="4:5">
      <c r="D70" s="1" t="s">
        <v>566</v>
      </c>
      <c r="E70" s="1" t="s">
        <v>40</v>
      </c>
    </row>
    <row r="71" spans="4:5">
      <c r="D71" s="1" t="s">
        <v>24</v>
      </c>
      <c r="E71" s="1" t="s">
        <v>567</v>
      </c>
    </row>
    <row r="72" spans="4:5">
      <c r="D72" s="1" t="s">
        <v>568</v>
      </c>
      <c r="E72" s="1" t="s">
        <v>73</v>
      </c>
    </row>
    <row r="73" spans="4:5">
      <c r="D73" s="1" t="s">
        <v>569</v>
      </c>
      <c r="E73" s="1" t="s">
        <v>129</v>
      </c>
    </row>
    <row r="74" spans="4:5">
      <c r="D74" s="1" t="s">
        <v>570</v>
      </c>
      <c r="E74" s="1" t="s">
        <v>571</v>
      </c>
    </row>
    <row r="75" spans="4:5">
      <c r="D75" s="1" t="s">
        <v>62</v>
      </c>
      <c r="E75" s="1" t="s">
        <v>572</v>
      </c>
    </row>
    <row r="76" spans="4:5">
      <c r="D76" s="1" t="s">
        <v>573</v>
      </c>
      <c r="E76" s="1" t="s">
        <v>102</v>
      </c>
    </row>
    <row r="77" spans="4:5">
      <c r="D77" s="1" t="s">
        <v>574</v>
      </c>
      <c r="E77" s="1" t="s">
        <v>575</v>
      </c>
    </row>
    <row r="78" spans="4:5">
      <c r="D78" s="1" t="s">
        <v>576</v>
      </c>
      <c r="E78" s="1" t="s">
        <v>577</v>
      </c>
    </row>
    <row r="79" spans="4:5">
      <c r="D79" s="1" t="s">
        <v>578</v>
      </c>
      <c r="E79" s="1" t="s">
        <v>579</v>
      </c>
    </row>
    <row r="80" spans="4:5">
      <c r="D80" s="1" t="s">
        <v>9</v>
      </c>
      <c r="E80" s="1" t="s">
        <v>580</v>
      </c>
    </row>
    <row r="81" spans="4:5">
      <c r="D81" s="1" t="s">
        <v>581</v>
      </c>
      <c r="E81" s="1" t="s">
        <v>582</v>
      </c>
    </row>
    <row r="82" spans="4:5">
      <c r="D82" s="1" t="s">
        <v>583</v>
      </c>
      <c r="E82" s="1" t="s">
        <v>100</v>
      </c>
    </row>
    <row r="83" spans="4:5">
      <c r="D83" s="1" t="s">
        <v>584</v>
      </c>
      <c r="E83" s="1" t="s">
        <v>585</v>
      </c>
    </row>
    <row r="84" spans="4:5">
      <c r="D84" s="1" t="s">
        <v>586</v>
      </c>
      <c r="E84" s="1" t="s">
        <v>587</v>
      </c>
    </row>
    <row r="85" spans="4:5">
      <c r="D85" s="1" t="s">
        <v>588</v>
      </c>
      <c r="E85" s="1" t="s">
        <v>51</v>
      </c>
    </row>
    <row r="86" spans="4:5">
      <c r="D86" s="1" t="s">
        <v>589</v>
      </c>
      <c r="E86" s="1" t="s">
        <v>118</v>
      </c>
    </row>
    <row r="87" spans="4:5">
      <c r="D87" s="1" t="s">
        <v>590</v>
      </c>
      <c r="E87" s="1" t="s">
        <v>591</v>
      </c>
    </row>
    <row r="88" spans="4:5">
      <c r="D88" s="1" t="s">
        <v>592</v>
      </c>
      <c r="E88" s="1" t="s">
        <v>593</v>
      </c>
    </row>
    <row r="89" spans="4:5">
      <c r="D89" s="1" t="s">
        <v>594</v>
      </c>
      <c r="E89" s="1" t="s">
        <v>595</v>
      </c>
    </row>
    <row r="90" spans="4:5">
      <c r="D90" s="1" t="s">
        <v>596</v>
      </c>
      <c r="E90" s="1" t="s">
        <v>597</v>
      </c>
    </row>
    <row r="91" spans="4:5">
      <c r="D91" s="1" t="s">
        <v>598</v>
      </c>
      <c r="E91" s="1" t="s">
        <v>599</v>
      </c>
    </row>
    <row r="92" spans="4:5">
      <c r="D92" s="1" t="s">
        <v>600</v>
      </c>
      <c r="E92" s="1" t="s">
        <v>601</v>
      </c>
    </row>
    <row r="93" spans="4:5">
      <c r="D93" s="1" t="s">
        <v>602</v>
      </c>
      <c r="E93" s="1" t="s">
        <v>603</v>
      </c>
    </row>
    <row r="94" spans="4:5">
      <c r="D94" s="1" t="s">
        <v>604</v>
      </c>
      <c r="E94" s="1" t="s">
        <v>104</v>
      </c>
    </row>
    <row r="95" spans="4:5">
      <c r="D95" s="1" t="s">
        <v>13</v>
      </c>
      <c r="E95" s="1" t="s">
        <v>605</v>
      </c>
    </row>
    <row r="96" spans="4:5">
      <c r="D96" s="1" t="s">
        <v>606</v>
      </c>
      <c r="E96" s="1" t="s">
        <v>82</v>
      </c>
    </row>
    <row r="97" spans="4:5">
      <c r="D97" s="1" t="s">
        <v>607</v>
      </c>
      <c r="E97" s="1" t="s">
        <v>72</v>
      </c>
    </row>
    <row r="98" spans="4:5">
      <c r="D98" s="1" t="s">
        <v>608</v>
      </c>
      <c r="E98" s="1" t="s">
        <v>125</v>
      </c>
    </row>
    <row r="99" spans="4:5">
      <c r="D99" s="1" t="s">
        <v>58</v>
      </c>
      <c r="E99" s="1" t="s">
        <v>609</v>
      </c>
    </row>
    <row r="100" spans="4:5">
      <c r="D100" s="1" t="s">
        <v>610</v>
      </c>
      <c r="E100" s="1" t="s">
        <v>611</v>
      </c>
    </row>
    <row r="101" spans="4:5">
      <c r="D101" s="1" t="s">
        <v>612</v>
      </c>
      <c r="E101" s="1" t="s">
        <v>61</v>
      </c>
    </row>
    <row r="102" spans="4:5">
      <c r="D102" s="1" t="s">
        <v>613</v>
      </c>
      <c r="E102" s="1" t="s">
        <v>130</v>
      </c>
    </row>
    <row r="103" spans="4:5">
      <c r="D103" s="1" t="s">
        <v>614</v>
      </c>
      <c r="E103" s="1" t="s">
        <v>20</v>
      </c>
    </row>
    <row r="104" spans="4:5">
      <c r="D104" s="1" t="s">
        <v>615</v>
      </c>
      <c r="E104" s="1" t="s">
        <v>616</v>
      </c>
    </row>
    <row r="105" spans="4:5">
      <c r="D105" s="1" t="s">
        <v>101</v>
      </c>
      <c r="E105" s="1" t="s">
        <v>617</v>
      </c>
    </row>
    <row r="106" spans="4:5">
      <c r="D106" s="1" t="s">
        <v>120</v>
      </c>
      <c r="E106" s="1" t="s">
        <v>126</v>
      </c>
    </row>
    <row r="107" spans="4:5">
      <c r="D107" s="1" t="s">
        <v>63</v>
      </c>
      <c r="E107" s="1" t="s">
        <v>618</v>
      </c>
    </row>
    <row r="108" spans="4:5">
      <c r="D108" s="1" t="s">
        <v>135</v>
      </c>
      <c r="E108" s="1" t="s">
        <v>619</v>
      </c>
    </row>
    <row r="109" spans="4:5">
      <c r="D109" s="1" t="s">
        <v>620</v>
      </c>
      <c r="E109" s="1" t="s">
        <v>23</v>
      </c>
    </row>
    <row r="110" spans="4:5">
      <c r="D110" s="1" t="s">
        <v>621</v>
      </c>
      <c r="E110" s="1" t="s">
        <v>14</v>
      </c>
    </row>
    <row r="111" spans="4:5">
      <c r="D111" s="1" t="s">
        <v>622</v>
      </c>
      <c r="E111" s="1" t="s">
        <v>623</v>
      </c>
    </row>
    <row r="112" spans="4:5">
      <c r="D112" s="1" t="s">
        <v>88</v>
      </c>
      <c r="E112" s="1" t="s">
        <v>624</v>
      </c>
    </row>
    <row r="113" spans="4:5">
      <c r="D113" s="1" t="s">
        <v>44</v>
      </c>
      <c r="E113" s="1" t="s">
        <v>625</v>
      </c>
    </row>
    <row r="114" spans="4:5">
      <c r="D114" s="1" t="s">
        <v>121</v>
      </c>
      <c r="E114" s="1" t="s">
        <v>626</v>
      </c>
    </row>
    <row r="115" spans="4:5">
      <c r="D115" s="1" t="s">
        <v>78</v>
      </c>
      <c r="E115" s="1" t="s">
        <v>627</v>
      </c>
    </row>
    <row r="116" spans="4:5">
      <c r="D116" s="1" t="s">
        <v>50</v>
      </c>
      <c r="E116" s="1" t="s">
        <v>628</v>
      </c>
    </row>
    <row r="117" spans="4:5">
      <c r="D117" s="1" t="s">
        <v>629</v>
      </c>
      <c r="E117" s="1" t="s">
        <v>630</v>
      </c>
    </row>
    <row r="118" spans="4:5">
      <c r="D118" s="1" t="s">
        <v>631</v>
      </c>
      <c r="E118" s="1" t="s">
        <v>632</v>
      </c>
    </row>
    <row r="119" spans="4:5">
      <c r="D119" s="1" t="s">
        <v>633</v>
      </c>
      <c r="E119" s="1" t="s">
        <v>634</v>
      </c>
    </row>
    <row r="120" spans="4:5">
      <c r="D120" s="1" t="s">
        <v>635</v>
      </c>
      <c r="E120" s="1" t="s">
        <v>636</v>
      </c>
    </row>
    <row r="121" spans="4:5">
      <c r="D121" s="1" t="s">
        <v>93</v>
      </c>
      <c r="E121" s="1" t="s">
        <v>637</v>
      </c>
    </row>
    <row r="122" spans="4:5">
      <c r="D122" s="1" t="s">
        <v>136</v>
      </c>
      <c r="E122" s="1" t="s">
        <v>77</v>
      </c>
    </row>
    <row r="123" spans="4:5">
      <c r="D123" s="1" t="s">
        <v>142</v>
      </c>
      <c r="E123" s="1" t="s">
        <v>638</v>
      </c>
    </row>
    <row r="124" spans="4:5">
      <c r="D124" s="1" t="s">
        <v>39</v>
      </c>
      <c r="E124" s="1" t="s">
        <v>639</v>
      </c>
    </row>
    <row r="125" spans="4:5">
      <c r="D125" s="1" t="s">
        <v>70</v>
      </c>
      <c r="E125" s="1" t="s">
        <v>113</v>
      </c>
    </row>
    <row r="126" spans="4:5">
      <c r="D126" s="1" t="s">
        <v>640</v>
      </c>
      <c r="E126" s="1" t="s">
        <v>66</v>
      </c>
    </row>
    <row r="127" spans="4:5">
      <c r="D127" s="1" t="s">
        <v>641</v>
      </c>
      <c r="E127" s="1" t="s">
        <v>85</v>
      </c>
    </row>
    <row r="128" spans="4:5">
      <c r="D128" s="1" t="s">
        <v>642</v>
      </c>
      <c r="E128" s="1" t="s">
        <v>643</v>
      </c>
    </row>
    <row r="129" spans="4:5">
      <c r="D129" s="1" t="s">
        <v>109</v>
      </c>
      <c r="E129" s="1" t="s">
        <v>86</v>
      </c>
    </row>
    <row r="130" spans="4:5">
      <c r="D130" s="1" t="s">
        <v>644</v>
      </c>
      <c r="E130" s="1" t="s">
        <v>645</v>
      </c>
    </row>
    <row r="131" spans="4:5">
      <c r="D131" s="1" t="s">
        <v>646</v>
      </c>
      <c r="E131" s="1" t="s">
        <v>68</v>
      </c>
    </row>
    <row r="132" spans="4:5">
      <c r="D132" s="1" t="s">
        <v>647</v>
      </c>
      <c r="E132" s="1" t="s">
        <v>648</v>
      </c>
    </row>
    <row r="133" spans="4:5">
      <c r="D133" s="1" t="s">
        <v>139</v>
      </c>
      <c r="E133" s="1" t="s">
        <v>59</v>
      </c>
    </row>
    <row r="134" spans="4:5">
      <c r="D134" s="1" t="s">
        <v>649</v>
      </c>
      <c r="E134" s="1" t="s">
        <v>650</v>
      </c>
    </row>
    <row r="135" spans="4:5">
      <c r="D135" s="1" t="s">
        <v>651</v>
      </c>
      <c r="E135" s="1" t="s">
        <v>10</v>
      </c>
    </row>
    <row r="136" spans="4:5">
      <c r="D136" s="1" t="s">
        <v>140</v>
      </c>
      <c r="E136" s="1" t="s">
        <v>652</v>
      </c>
    </row>
    <row r="137" spans="4:5">
      <c r="D137" s="1" t="s">
        <v>653</v>
      </c>
      <c r="E137" s="1" t="s">
        <v>654</v>
      </c>
    </row>
    <row r="138" spans="4:5">
      <c r="D138" s="1" t="s">
        <v>655</v>
      </c>
      <c r="E138" s="1" t="s">
        <v>656</v>
      </c>
    </row>
    <row r="139" spans="4:5">
      <c r="D139" s="1" t="s">
        <v>657</v>
      </c>
      <c r="E139" s="1" t="s">
        <v>658</v>
      </c>
    </row>
    <row r="140" spans="4:5">
      <c r="D140" s="1" t="s">
        <v>659</v>
      </c>
      <c r="E140" s="1" t="s">
        <v>660</v>
      </c>
    </row>
    <row r="141" spans="4:5">
      <c r="D141" s="1" t="s">
        <v>22</v>
      </c>
      <c r="E141" s="1" t="s">
        <v>25</v>
      </c>
    </row>
    <row r="142" spans="4:5">
      <c r="D142" s="1" t="s">
        <v>124</v>
      </c>
      <c r="E142" s="1" t="s">
        <v>83</v>
      </c>
    </row>
    <row r="143" spans="4:5">
      <c r="E143" s="1" t="s">
        <v>661</v>
      </c>
    </row>
    <row r="144" spans="4:5">
      <c r="E144" s="1" t="s">
        <v>662</v>
      </c>
    </row>
    <row r="145" spans="5:5">
      <c r="E145" s="1" t="s">
        <v>663</v>
      </c>
    </row>
    <row r="146" spans="5:5">
      <c r="E146" s="1" t="s">
        <v>664</v>
      </c>
    </row>
    <row r="147" spans="5:5">
      <c r="E147" s="1" t="s">
        <v>665</v>
      </c>
    </row>
    <row r="148" spans="5:5">
      <c r="E148" s="1" t="s">
        <v>666</v>
      </c>
    </row>
    <row r="149" spans="5:5">
      <c r="E149" s="1" t="s">
        <v>667</v>
      </c>
    </row>
    <row r="150" spans="5:5">
      <c r="E150" s="1" t="s">
        <v>668</v>
      </c>
    </row>
    <row r="151" spans="5:5">
      <c r="E151" s="1" t="s">
        <v>669</v>
      </c>
    </row>
    <row r="152" spans="5:5">
      <c r="E152" s="1" t="s">
        <v>670</v>
      </c>
    </row>
    <row r="153" spans="5:5">
      <c r="E153" s="1" t="s">
        <v>671</v>
      </c>
    </row>
    <row r="154" spans="5:5">
      <c r="E154" s="1" t="s">
        <v>30</v>
      </c>
    </row>
    <row r="155" spans="5:5">
      <c r="E155" s="1" t="s">
        <v>672</v>
      </c>
    </row>
    <row r="156" spans="5:5">
      <c r="E156" s="1" t="s">
        <v>673</v>
      </c>
    </row>
    <row r="157" spans="5:5">
      <c r="E157" s="1" t="s">
        <v>674</v>
      </c>
    </row>
    <row r="158" spans="5:5">
      <c r="E158" s="1" t="s">
        <v>116</v>
      </c>
    </row>
    <row r="159" spans="5:5">
      <c r="E159" s="1" t="s">
        <v>48</v>
      </c>
    </row>
    <row r="160" spans="5:5">
      <c r="E160" s="1" t="s">
        <v>675</v>
      </c>
    </row>
    <row r="161" spans="5:5">
      <c r="E161" s="1" t="s">
        <v>676</v>
      </c>
    </row>
    <row r="162" spans="5:5">
      <c r="E162" s="1" t="s">
        <v>677</v>
      </c>
    </row>
    <row r="163" spans="5:5">
      <c r="E163" s="1" t="s">
        <v>678</v>
      </c>
    </row>
    <row r="164" spans="5:5">
      <c r="E164" s="1" t="s">
        <v>28</v>
      </c>
    </row>
    <row r="165" spans="5:5">
      <c r="E165" s="1" t="s">
        <v>679</v>
      </c>
    </row>
    <row r="166" spans="5:5">
      <c r="E166" s="1" t="s">
        <v>52</v>
      </c>
    </row>
    <row r="167" spans="5:5">
      <c r="E167" s="1" t="s">
        <v>42</v>
      </c>
    </row>
    <row r="168" spans="5:5">
      <c r="E168" s="1" t="s">
        <v>680</v>
      </c>
    </row>
    <row r="169" spans="5:5">
      <c r="E169" s="1" t="s">
        <v>681</v>
      </c>
    </row>
    <row r="170" spans="5:5">
      <c r="E170" s="1" t="s">
        <v>90</v>
      </c>
    </row>
    <row r="171" spans="5:5">
      <c r="E171" s="1" t="s">
        <v>682</v>
      </c>
    </row>
    <row r="172" spans="5:5">
      <c r="E172" s="1" t="s">
        <v>683</v>
      </c>
    </row>
    <row r="173" spans="5:5">
      <c r="E173" s="1" t="s">
        <v>684</v>
      </c>
    </row>
    <row r="174" spans="5:5">
      <c r="E174" s="1" t="s">
        <v>22</v>
      </c>
    </row>
    <row r="175" spans="5:5">
      <c r="E175" s="1" t="s">
        <v>124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honeticPr fontId="16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32</vt:i4>
      </vt:variant>
    </vt:vector>
  </HeadingPairs>
  <TitlesOfParts>
    <vt:vector size="35" baseType="lpstr">
      <vt:lpstr>채용비율</vt:lpstr>
      <vt:lpstr>반도체현장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2026-10-05T15:21:03Z</dcterms:modified>
</cp:coreProperties>
</file>