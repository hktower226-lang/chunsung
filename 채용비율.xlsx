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xr:revisionPtr revIDLastSave="0" documentId="8_{2F2C34CA-FC9A-1148-9D4C-53F87D9B7A35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5" l="1"/>
  <c r="I113" i="5"/>
  <c r="I114" i="5"/>
  <c r="H113" i="5"/>
  <c r="H114" i="5"/>
  <c r="G113" i="5"/>
  <c r="G114" i="5"/>
  <c r="F113" i="5"/>
  <c r="F114" i="5"/>
  <c r="E113" i="5"/>
  <c r="E114" i="5"/>
  <c r="D114" i="5"/>
  <c r="D101" i="5"/>
  <c r="I101" i="5"/>
  <c r="I102" i="5"/>
  <c r="H101" i="5"/>
  <c r="H102" i="5"/>
  <c r="G101" i="5"/>
  <c r="G102" i="5"/>
  <c r="F101" i="5"/>
  <c r="F102" i="5"/>
  <c r="E101" i="5"/>
  <c r="E102" i="5"/>
  <c r="D102" i="5"/>
  <c r="D86" i="5"/>
  <c r="I86" i="5"/>
  <c r="I87" i="5"/>
  <c r="H86" i="5"/>
  <c r="H87" i="5"/>
  <c r="G86" i="5"/>
  <c r="G87" i="5"/>
  <c r="F86" i="5"/>
  <c r="F87" i="5"/>
  <c r="E86" i="5"/>
  <c r="E87" i="5"/>
  <c r="D87" i="5"/>
  <c r="D74" i="5"/>
  <c r="I74" i="5"/>
  <c r="I75" i="5"/>
  <c r="H74" i="5"/>
  <c r="H75" i="5"/>
  <c r="G74" i="5"/>
  <c r="G75" i="5"/>
  <c r="F74" i="5"/>
  <c r="F75" i="5"/>
  <c r="E74" i="5"/>
  <c r="E75" i="5"/>
  <c r="D75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  <c r="H21" i="4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42" i="3"/>
  <c r="J42" i="3"/>
  <c r="J41" i="3"/>
  <c r="J36" i="3"/>
  <c r="I34" i="3"/>
  <c r="J34" i="3"/>
  <c r="I24" i="3"/>
  <c r="J24" i="3"/>
  <c r="J23" i="3"/>
  <c r="J12" i="3"/>
  <c r="J8" i="3"/>
  <c r="J4" i="3"/>
  <c r="K81" i="2"/>
  <c r="K82" i="2"/>
  <c r="K83" i="2"/>
  <c r="J82" i="2"/>
  <c r="J83" i="2"/>
  <c r="I82" i="2"/>
  <c r="I83" i="2"/>
  <c r="H82" i="2"/>
  <c r="H83" i="2"/>
  <c r="G82" i="2"/>
  <c r="G83" i="2"/>
  <c r="F82" i="2"/>
  <c r="F83" i="2"/>
  <c r="E82" i="2"/>
  <c r="E83" i="2"/>
  <c r="K74" i="2"/>
  <c r="K75" i="2"/>
  <c r="K76" i="2"/>
  <c r="J75" i="2"/>
  <c r="J76" i="2"/>
  <c r="I75" i="2"/>
  <c r="I76" i="2"/>
  <c r="H75" i="2"/>
  <c r="H76" i="2"/>
  <c r="G75" i="2"/>
  <c r="G76" i="2"/>
  <c r="F75" i="2"/>
  <c r="F76" i="2"/>
  <c r="E75" i="2"/>
  <c r="E76" i="2"/>
  <c r="K60" i="2"/>
  <c r="K61" i="2"/>
  <c r="K62" i="2"/>
  <c r="J61" i="2"/>
  <c r="J62" i="2"/>
  <c r="I61" i="2"/>
  <c r="I62" i="2"/>
  <c r="H61" i="2"/>
  <c r="H62" i="2"/>
  <c r="G61" i="2"/>
  <c r="G62" i="2"/>
  <c r="F61" i="2"/>
  <c r="F62" i="2"/>
  <c r="E61" i="2"/>
  <c r="E62" i="2"/>
  <c r="K48" i="2"/>
  <c r="K49" i="2"/>
  <c r="K50" i="2"/>
  <c r="J49" i="2"/>
  <c r="J50" i="2"/>
  <c r="I49" i="2"/>
  <c r="I50" i="2"/>
  <c r="H49" i="2"/>
  <c r="H50" i="2"/>
  <c r="G49" i="2"/>
  <c r="G50" i="2"/>
  <c r="F49" i="2"/>
  <c r="F50" i="2"/>
  <c r="E49" i="2"/>
  <c r="E50" i="2"/>
  <c r="K36" i="2"/>
  <c r="K37" i="2"/>
  <c r="K38" i="2"/>
  <c r="J37" i="2"/>
  <c r="J38" i="2"/>
  <c r="I37" i="2"/>
  <c r="I38" i="2"/>
  <c r="H37" i="2"/>
  <c r="H38" i="2"/>
  <c r="G37" i="2"/>
  <c r="G38" i="2"/>
  <c r="F37" i="2"/>
  <c r="F38" i="2"/>
  <c r="E37" i="2"/>
  <c r="E38" i="2"/>
  <c r="K29" i="2"/>
  <c r="K31" i="2"/>
  <c r="K32" i="2"/>
  <c r="J31" i="2"/>
  <c r="J32" i="2"/>
  <c r="I31" i="2"/>
  <c r="I32" i="2"/>
  <c r="H31" i="2"/>
  <c r="H32" i="2"/>
  <c r="G31" i="2"/>
  <c r="G32" i="2"/>
  <c r="F31" i="2"/>
  <c r="F32" i="2"/>
  <c r="E31" i="2"/>
  <c r="E32" i="2"/>
  <c r="K22" i="2"/>
  <c r="K23" i="2"/>
  <c r="K24" i="2"/>
  <c r="K25" i="2"/>
  <c r="J24" i="2"/>
  <c r="J25" i="2"/>
  <c r="I24" i="2"/>
  <c r="I25" i="2"/>
  <c r="H24" i="2"/>
  <c r="H25" i="2"/>
  <c r="G24" i="2"/>
  <c r="G25" i="2"/>
  <c r="F24" i="2"/>
  <c r="F25" i="2"/>
  <c r="E24" i="2"/>
  <c r="E25" i="2"/>
  <c r="K6" i="2"/>
  <c r="K7" i="2"/>
  <c r="J6" i="2"/>
  <c r="J7" i="2"/>
  <c r="I6" i="2"/>
  <c r="I7" i="2"/>
  <c r="H6" i="2"/>
  <c r="H7" i="2"/>
  <c r="G6" i="2"/>
  <c r="G7" i="2"/>
  <c r="F6" i="2"/>
  <c r="F7" i="2"/>
  <c r="E6" i="2"/>
  <c r="E7" i="2"/>
  <c r="H3" i="1"/>
  <c r="G4" i="1"/>
  <c r="F4" i="1"/>
  <c r="E4" i="1"/>
  <c r="D4" i="1"/>
  <c r="C4" i="1"/>
  <c r="B4" i="1"/>
</calcChain>
</file>

<file path=xl/sharedStrings.xml><?xml version="1.0" encoding="utf-8"?>
<sst xmlns="http://schemas.openxmlformats.org/spreadsheetml/2006/main" count="658" uniqueCount="282">
  <si>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</si>
  <si>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</si>
  <si>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</si>
  <si>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</si>
  <si>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</si>
  <si>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</si>
  <si>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</si>
  <si>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</si>
  <si>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</si>
  <si>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</si>
  <si>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</si>
  <si>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</si>
  <si>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</si>
  <si>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</si>
  <si>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</si>
  <si>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</si>
  <si>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</si>
  <si>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</si>
  <si>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</si>
  <si>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</si>
  <si>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</si>
  <si>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</si>
  <si>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</si>
  <si>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</si>
  <si>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</si>
  <si>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</si>
  <si>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</si>
  <si>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</si>
  <si>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</si>
  <si>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</si>
  <si>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</si>
  <si>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</si>
  <si>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</si>
  <si>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</si>
  <si>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</si>
  <si>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</si>
  <si>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</si>
  <si>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</si>
  <si>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</si>
  <si>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</si>
  <si>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</si>
  <si>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</si>
  <si>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</si>
  <si>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</si>
  <si>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</si>
  <si>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</si>
  <si>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</si>
  <si>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</si>
  <si>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</si>
  <si>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</si>
  <si>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</si>
  <si>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</si>
  <si>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</si>
  <si>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</si>
  <si>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</si>
  <si>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3.타워(렌탈)사별 점유 현황 (통계제외 제외)</t>
  </si>
  <si>
    <t>타워사</t>
  </si>
  <si>
    <t>현장수</t>
  </si>
  <si>
    <t>기타</t>
  </si>
  <si>
    <t>한노점유율</t>
  </si>
  <si>
    <t>주식회사 비엠케이</t>
  </si>
  <si>
    <t>벽산중기산업주식회사</t>
  </si>
  <si>
    <t>(주)한백산업</t>
  </si>
  <si>
    <t>주식회사월드타워</t>
  </si>
  <si>
    <t>(주)규람타워렌탈</t>
  </si>
  <si>
    <t>주식회사 화성건기</t>
  </si>
  <si>
    <t>(주)신화중공업</t>
  </si>
  <si>
    <t>주식회사 가람타워</t>
  </si>
  <si>
    <t>(주)야후건기</t>
  </si>
  <si>
    <t>뉴월드타워 주식회사</t>
  </si>
  <si>
    <t>(주)진성타워</t>
  </si>
  <si>
    <t>주식회사 한불타워</t>
  </si>
  <si>
    <t>(주)무기타워렌탈</t>
  </si>
  <si>
    <t>(주)타워링</t>
  </si>
  <si>
    <t>(주)타워랜드</t>
  </si>
  <si>
    <t>신우개발(주)</t>
  </si>
  <si>
    <t>주식회사 삼진타워</t>
  </si>
  <si>
    <t>(주)한진</t>
  </si>
  <si>
    <t>주식회사 필웍스</t>
  </si>
  <si>
    <t>(주)남산공영</t>
  </si>
  <si>
    <t>(주)금강건기</t>
  </si>
  <si>
    <t>(주)유건설 (단종계약)</t>
  </si>
  <si>
    <t>(주)제이에스글로벌산업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</si>
  <si>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</si>
  <si>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</si>
  <si>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</si>
  <si>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</si>
  <si>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</si>
  <si>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</si>
  <si>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</si>
  <si>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</si>
  <si>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</si>
  <si>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</si>
  <si>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</si>
  <si>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</si>
  <si>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</si>
  <si>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</si>
  <si>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</si>
  <si>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</si>
  <si>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</si>
  <si>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</si>
  <si>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</si>
  <si>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</si>
  <si>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</si>
  <si>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</si>
  <si>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</si>
  <si>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</si>
  <si>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</si>
  <si>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</si>
  <si>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</si>
  <si>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</si>
  <si>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</si>
  <si>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</si>
  <si>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</si>
  <si>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</si>
  <si>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</si>
  <si>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</si>
  <si>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</si>
  <si>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</si>
  <si>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</si>
  <si>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</si>
  <si>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</si>
  <si>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</si>
  <si>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</si>
  <si>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</si>
  <si>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</si>
  <si>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</si>
  <si>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</si>
  <si>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</si>
  <si>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</si>
  <si>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</si>
  <si>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</si>
  <si>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</si>
  <si>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</si>
  <si>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</si>
  <si>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</si>
  <si>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</si>
  <si>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</si>
  <si>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</si>
  <si>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</si>
  <si>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</si>
  <si>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</si>
  <si>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</si>
  <si>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</si>
  <si>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</si>
  <si>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</si>
  <si>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</si>
  <si>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</si>
  <si>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</si>
  <si>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</si>
  <si>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</si>
  <si>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</si>
  <si>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</si>
  <si>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</si>
  <si>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</si>
  <si>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</si>
  <si>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</si>
  <si>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</si>
  <si>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</si>
  <si>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</si>
  <si>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</si>
  <si>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</si>
  <si>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</si>
  <si>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</si>
  <si>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</si>
  <si>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</si>
  <si>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</si>
  <si>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</si>
  <si>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</si>
  <si>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</si>
  <si>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</si>
  <si>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</si>
  <si>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</si>
  <si>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</si>
  <si>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</si>
  <si>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</si>
  <si>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</si>
  <si>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</si>
  <si>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</si>
  <si>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</si>
  <si>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</si>
  <si>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</si>
  <si>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</si>
  <si>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기흥변전소</t>
  </si>
  <si>
    <t>(주)한양건설</t>
  </si>
  <si>
    <t>한양립스</t>
  </si>
  <si>
    <t>8월 채용 현황</t>
  </si>
  <si>
    <t>안양역센트럴아이파크수자인</t>
  </si>
  <si>
    <t>배곧서울대학교병원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</si>
  <si>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</si>
  <si>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</si>
  <si>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</si>
  <si>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</si>
  <si>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</si>
  <si>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</si>
  <si>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</si>
  <si>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</si>
  <si>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</si>
  <si>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</si>
  <si>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</si>
  <si>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</si>
  <si>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</si>
  <si>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</si>
  <si>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</si>
  <si>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용인클러스터 상생협력시설(기숙사 1차)</t>
  </si>
  <si>
    <t>미정 3대 (배정 미확정)</t>
  </si>
  <si>
    <t>미정 2대 (배정 미확정)</t>
  </si>
  <si>
    <t>용인덕성 AI데이터센터</t>
  </si>
  <si>
    <t>(주)서희건설</t>
  </si>
  <si>
    <t>화성비봉 지역주택조합 아파트 신축공사</t>
  </si>
  <si>
    <t>기타(비고에 작성)</t>
  </si>
  <si>
    <t>수원 친환경 에너지 개선공사</t>
  </si>
  <si>
    <t>지에스건설(주)</t>
  </si>
  <si>
    <t>수지자이에디시온</t>
  </si>
  <si>
    <t>삼성이앤에이(주)</t>
  </si>
  <si>
    <t>오산 AMK R&amp;D</t>
  </si>
  <si>
    <t>※ 미정 12대 아직 미반영 (인력 확정 시 비율 변동)</t>
  </si>
  <si>
    <t>10월 채용 현황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</si>
  <si>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</si>
  <si>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</si>
  <si>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</si>
  <si>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</si>
  <si>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</si>
  <si>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(주)대원</t>
  </si>
  <si>
    <t>이천 증포5지구 칸타빌 에듀파크 신축공사</t>
  </si>
  <si>
    <r>
      <t>(</t>
    </r>
    <r>
      <rPr>
        <sz val="11"/>
        <color rgb="FF000000"/>
        <rFont val="맑은 고딕"/>
        <family val="3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</rPr>
      <t>남산공영</t>
    </r>
  </si>
  <si>
    <t>오산세교2지구 M1블록 민간임대 주상복합 신축공사</t>
  </si>
  <si>
    <t>평택 고덕국제신도시 A-67BL 공동주택 신축공사</t>
  </si>
  <si>
    <t>주식회사 현성건설</t>
  </si>
  <si>
    <t>평택고덕 ABC-61BL 공동주택 신축공사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</si>
  <si>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</si>
  <si>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</si>
  <si>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</si>
  <si>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</si>
  <si>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</si>
  <si>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</si>
  <si>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</si>
  <si>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</si>
  <si>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</si>
  <si>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</si>
  <si>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</si>
  <si>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</si>
  <si>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</si>
  <si>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</si>
  <si>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</si>
  <si>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</si>
  <si>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</si>
  <si>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</si>
  <si>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원청사: 강산건설(주)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</si>
  <si>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</si>
  <si>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</si>
  <si>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</si>
  <si>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</si>
  <si>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</si>
  <si>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</si>
  <si>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</si>
  <si>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</si>
  <si>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</si>
  <si>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</si>
  <si>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</si>
  <si>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</si>
  <si>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</si>
  <si>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</si>
  <si>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</si>
  <si>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</si>
  <si>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</si>
  <si>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</si>
  <si>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</si>
  <si>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</si>
  <si>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</si>
  <si>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</si>
  <si>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</si>
  <si>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</si>
  <si>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</si>
  <si>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</si>
  <si>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</si>
  <si>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</si>
  <si>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</si>
  <si>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</si>
  <si>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대보건설(주)</t>
  </si>
  <si>
    <t>제일건설(주)</t>
  </si>
  <si>
    <t>※ 미정 2대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</si>
</sst>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2" x14ac:knownFonts="1">
    <font>
      <sz val="11"/>
      <color theme="1"/>
      <name val="맑은 고딕"/>
    </font>
    <font>
      <sz val="11"/>
      <color theme="1"/>
      <name val="맑은 고딕"/>
    </font>
    <font>
      <sz val="11"/>
      <color rgb="FFFF0000"/>
      <name val="맑은 고딕"/>
    </font>
    <font>
      <b/>
      <sz val="10"/>
      <color rgb="FFFFFFFF"/>
      <name val="맑은 고딕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</font>
    <font>
      <sz val="10"/>
      <name val="Noto Sans CJK SC"/>
    </font>
    <font>
      <sz val="10"/>
      <name val="Arial"/>
    </font>
    <font>
      <b/>
      <sz val="13"/>
      <color rgb="FFFFFFFF"/>
      <name val="Noto Sans CJK SC"/>
    </font>
    <font>
      <i/>
      <sz val="10"/>
      <color rgb="FF999999"/>
      <name val="Arial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</font>
    <font>
      <b/>
      <sz val="16"/>
      <color rgb="FF1F497D"/>
      <name val="맑은 고딕"/>
    </font>
    <font>
      <b/>
      <sz val="10"/>
      <color rgb="FF595959"/>
      <name val="맑은 고딕"/>
    </font>
    <font>
      <b/>
      <sz val="12"/>
      <color rgb="FF000000"/>
      <name val="맑은 고딕"/>
    </font>
    <font>
      <b/>
      <sz val="11"/>
      <color rgb="FFFFFFFF"/>
      <name val="맑은 고딕"/>
    </font>
    <font>
      <b/>
      <sz val="11"/>
      <name val="맑은 고딕"/>
    </font>
    <font>
      <b/>
      <sz val="10"/>
      <name val="맑은 고딕"/>
    </font>
    <font>
      <sz val="10"/>
      <name val="맑은 고딕"/>
    </font>
    <font>
      <sz val="9"/>
      <color rgb="FF595959"/>
      <name val="맑은 고딕"/>
    </font>
    <font>
      <b/>
      <sz val="12"/>
      <color rgb="FFFFFFFF"/>
      <name val="맑은 고딕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</font>
    <font>
      <b/>
      <sz val="10"/>
      <color rgb="FFC00000"/>
      <name val="맑은 고딕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</font>
    <font>
      <sz val="9"/>
      <color rgb="FF9C6500"/>
      <name val="맑은 고딕"/>
    </font>
    <font>
      <sz val="11"/>
      <color rgb="FF000000"/>
      <name val="맑은 고딕"/>
    </font>
    <font>
      <i/>
      <sz val="11"/>
      <color rgb="FF000000"/>
      <name val="맑은 고딕"/>
    </font>
    <font>
      <b/>
      <sz val="10"/>
      <color rgb="FF000000"/>
      <name val="Noto Sans CJK SC"/>
    </font>
    <font>
      <sz val="10"/>
      <color rgb="FF000000"/>
      <name val="맑은 고딕"/>
    </font>
    <font>
      <sz val="11"/>
      <color rgb="FF000000"/>
      <name val="맑은 고딕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</font>
    <font>
      <b/>
      <sz val="10"/>
      <color rgb="FF000000"/>
      <name val="Arial"/>
    </font>
    <font>
      <b/>
      <i/>
      <sz val="10"/>
      <color rgb="FF000000"/>
      <name val="Noto Sans CJK SC"/>
    </font>
    <font>
      <sz val="11"/>
      <color rgb="FFFF0000"/>
      <name val="맑은 고딕"/>
    </font>
    <font>
      <i/>
      <sz val="11"/>
      <color rgb="FFFF0000"/>
      <name val="맑은 고딕"/>
    </font>
    <font>
      <b/>
      <sz val="9"/>
      <color rgb="FFFFFFFF"/>
      <name val="Noto Sans CJK SC"/>
    </font>
    <font>
      <b/>
      <sz val="11"/>
      <color theme="1"/>
      <name val="맑은 고딕"/>
    </font>
    <font>
      <b/>
      <sz val="10"/>
      <color rgb="FFFF0000"/>
      <name val="Arial"/>
    </font>
    <font>
      <b/>
      <sz val="11"/>
      <color rgb="FFFF0000"/>
      <name val="맑은 고딕"/>
    </font>
    <font>
      <b/>
      <i/>
      <sz val="10"/>
      <color rgb="FF999999"/>
      <name val="Arial"/>
    </font>
    <font>
      <b/>
      <sz val="11"/>
      <color rgb="FF000000"/>
      <name val="맑은 고딕"/>
    </font>
    <font>
      <b/>
      <i/>
      <sz val="11"/>
      <color rgb="FF000000"/>
      <name val="맑은 고딕"/>
    </font>
    <font>
      <b/>
      <i/>
      <sz val="10"/>
      <color rgb="FF999999"/>
      <name val="Noto Sans CJK SC"/>
    </font>
    <font>
      <b/>
      <sz val="10"/>
      <color rgb="FFB45309"/>
      <name val="Noto Sans CJK SC"/>
    </font>
    <font>
      <sz val="10"/>
      <name val="Noto Sans CJK SC"/>
    </font>
    <font>
      <sz val="11"/>
      <color theme="1"/>
      <name val="맑은 고딕"/>
    </font>
    <font>
      <sz val="10"/>
      <color rgb="FFFF0000"/>
      <name val="Arial"/>
    </font>
    <font>
      <sz val="10"/>
      <color rgb="FFB45309"/>
      <name val="Noto Sans CJK SC"/>
    </font>
    <font>
      <i/>
      <sz val="10"/>
      <color rgb="FF999999"/>
      <name val="Noto Sans CJK SC"/>
    </font>
    <font>
      <i/>
      <sz val="10"/>
      <color rgb="FF999999"/>
      <name val="Arial"/>
    </font>
    <font>
      <sz val="11"/>
      <color rgb="FF000000"/>
      <name val="맑은 고딕"/>
    </font>
    <font>
      <sz val="11"/>
      <color rgb="FF000000"/>
      <name val="맑은 고딕"/>
      <family val="3"/>
    </font>
    <font>
      <sz val="11"/>
      <color rgb="FF00000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  <fill>
      <patternFill patternType="solid">
        <fgColor rgb="FFEFF3F8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201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1" borderId="0" xfId="0" applyFont="1" applyFill="1" applyBorder="1" applyAlignment="1">
      <alignment horizontal="center" vertical="center"/>
    </xf>
    <xf numFmtId="3" fontId="19" fillId="12" borderId="0" xfId="0" applyNumberFormat="1" applyFont="1" applyFill="1" applyBorder="1" applyAlignment="1">
      <alignment horizontal="center" vertical="center"/>
    </xf>
    <xf numFmtId="0" fontId="20" fillId="13" borderId="0" xfId="0" applyFont="1" applyFill="1" applyBorder="1" applyAlignment="1">
      <alignment horizontal="center" vertical="center"/>
    </xf>
    <xf numFmtId="0" fontId="3" fillId="14" borderId="0" xfId="0" applyFont="1" applyFill="1" applyBorder="1" applyAlignment="1">
      <alignment horizontal="center" vertical="center" wrapText="1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3" fontId="20" fillId="15" borderId="2" xfId="0" applyNumberFormat="1" applyFont="1" applyFill="1" applyBorder="1" applyAlignment="1">
      <alignment horizontal="center" vertical="center"/>
    </xf>
    <xf numFmtId="3" fontId="21" fillId="15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6" borderId="3" xfId="0" applyFont="1" applyFill="1" applyBorder="1" applyAlignment="1"/>
    <xf numFmtId="0" fontId="20" fillId="16" borderId="3" xfId="0" applyFont="1" applyFill="1" applyBorder="1" applyAlignment="1">
      <alignment horizontal="center" vertical="center"/>
    </xf>
    <xf numFmtId="3" fontId="20" fillId="16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3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4" fillId="18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" fontId="19" fillId="19" borderId="5" xfId="0" applyNumberFormat="1" applyFont="1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176" fontId="36" fillId="27" borderId="5" xfId="0" applyNumberFormat="1" applyFont="1" applyFill="1" applyBorder="1" applyAlignment="1">
      <alignment horizontal="center" vertical="center" wrapText="1"/>
    </xf>
    <xf numFmtId="0" fontId="36" fillId="27" borderId="5" xfId="0" applyFont="1" applyFill="1" applyBorder="1" applyAlignment="1">
      <alignment horizontal="center" vertical="center" wrapText="1"/>
    </xf>
    <xf numFmtId="0" fontId="30" fillId="24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5" fillId="27" borderId="5" xfId="0" applyFont="1" applyFill="1" applyBorder="1" applyAlignment="1">
      <alignment horizontal="center" vertical="center" wrapText="1"/>
    </xf>
    <xf numFmtId="1" fontId="35" fillId="27" borderId="5" xfId="0" applyNumberFormat="1" applyFont="1" applyFill="1" applyBorder="1" applyAlignment="1">
      <alignment horizontal="center" vertical="center" wrapText="1"/>
    </xf>
    <xf numFmtId="1" fontId="36" fillId="27" borderId="5" xfId="0" applyNumberFormat="1" applyFont="1" applyFill="1" applyBorder="1" applyAlignment="1">
      <alignment horizontal="center" vertical="center" wrapText="1"/>
    </xf>
    <xf numFmtId="0" fontId="26" fillId="26" borderId="5" xfId="0" applyFont="1" applyFill="1" applyBorder="1" applyAlignment="1">
      <alignment horizontal="center" vertical="center"/>
    </xf>
    <xf numFmtId="1" fontId="26" fillId="20" borderId="5" xfId="0" applyNumberFormat="1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 wrapText="1"/>
    </xf>
    <xf numFmtId="0" fontId="4" fillId="30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3" fillId="30" borderId="5" xfId="0" applyFont="1" applyFill="1" applyBorder="1" applyAlignment="1">
      <alignment horizontal="center" vertical="center" wrapText="1"/>
    </xf>
    <xf numFmtId="0" fontId="37" fillId="27" borderId="5" xfId="0" applyFont="1" applyFill="1" applyBorder="1" applyAlignment="1">
      <alignment horizontal="center" vertical="center" wrapText="1"/>
    </xf>
    <xf numFmtId="0" fontId="0" fillId="20" borderId="5" xfId="0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36" fillId="27" borderId="5" xfId="0" applyFont="1" applyFill="1" applyBorder="1" applyAlignment="1">
      <alignment horizontal="center" vertical="center"/>
    </xf>
    <xf numFmtId="0" fontId="44" fillId="30" borderId="5" xfId="0" applyFont="1" applyFill="1" applyBorder="1" applyAlignment="1">
      <alignment horizontal="center" vertical="center" wrapText="1"/>
    </xf>
    <xf numFmtId="0" fontId="30" fillId="23" borderId="5" xfId="0" applyFont="1" applyFill="1" applyBorder="1" applyAlignment="1">
      <alignment horizontal="center" vertical="center"/>
    </xf>
    <xf numFmtId="0" fontId="31" fillId="22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/>
    </xf>
    <xf numFmtId="0" fontId="38" fillId="27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5" fillId="20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  <xf numFmtId="0" fontId="25" fillId="19" borderId="5" xfId="0" applyFont="1" applyFill="1" applyBorder="1" applyAlignment="1">
      <alignment horizontal="center" vertical="center"/>
    </xf>
    <xf numFmtId="0" fontId="29" fillId="19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2" fillId="25" borderId="5" xfId="0" applyFont="1" applyFill="1" applyBorder="1" applyAlignment="1">
      <alignment horizontal="center" vertical="center"/>
    </xf>
    <xf numFmtId="0" fontId="34" fillId="28" borderId="5" xfId="0" applyFont="1" applyFill="1" applyBorder="1" applyAlignment="1">
      <alignment horizontal="center" vertical="center" wrapText="1"/>
    </xf>
    <xf numFmtId="0" fontId="41" fillId="28" borderId="5" xfId="0" applyFont="1" applyFill="1" applyBorder="1" applyAlignment="1">
      <alignment horizontal="center" vertical="center" wrapText="1"/>
    </xf>
    <xf numFmtId="0" fontId="42" fillId="27" borderId="5" xfId="0" applyFont="1" applyFill="1" applyBorder="1" applyAlignment="1">
      <alignment horizontal="center" vertical="center" wrapText="1"/>
    </xf>
    <xf numFmtId="0" fontId="43" fillId="27" borderId="5" xfId="0" applyFont="1" applyFill="1" applyBorder="1" applyAlignment="1">
      <alignment horizontal="center" vertical="center" wrapText="1"/>
    </xf>
    <xf numFmtId="176" fontId="0" fillId="0" borderId="0" xfId="0" applyNumberFormat="1" applyFont="1" applyFill="1" applyBorder="1" applyAlignment="1">
      <alignment vertical="center"/>
    </xf>
    <xf numFmtId="176" fontId="8" fillId="0" borderId="1" xfId="0" applyNumberFormat="1" applyFont="1" applyFill="1" applyBorder="1" applyAlignment="1">
      <alignment horizontal="center" vertical="center" wrapText="1"/>
    </xf>
    <xf numFmtId="176" fontId="32" fillId="25" borderId="5" xfId="0" applyNumberFormat="1" applyFont="1" applyFill="1" applyBorder="1" applyAlignment="1">
      <alignment horizontal="center" vertical="center" wrapText="1"/>
    </xf>
    <xf numFmtId="1" fontId="5" fillId="10" borderId="5" xfId="0" applyNumberFormat="1" applyFont="1" applyFill="1" applyBorder="1" applyAlignment="1">
      <alignment horizontal="center" vertical="center" wrapText="1"/>
    </xf>
    <xf numFmtId="1" fontId="14" fillId="9" borderId="5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/>
    </xf>
    <xf numFmtId="1" fontId="2" fillId="25" borderId="5" xfId="0" applyNumberFormat="1" applyFont="1" applyFill="1" applyBorder="1" applyAlignment="1">
      <alignment horizontal="center" vertical="center" wrapText="1"/>
    </xf>
    <xf numFmtId="176" fontId="6" fillId="0" borderId="5" xfId="0" applyNumberFormat="1" applyFont="1" applyFill="1" applyBorder="1" applyAlignment="1">
      <alignment horizontal="center" vertical="center" wrapText="1"/>
    </xf>
    <xf numFmtId="1" fontId="7" fillId="0" borderId="5" xfId="0" applyNumberFormat="1" applyFont="1" applyFill="1" applyBorder="1" applyAlignment="1">
      <alignment horizontal="center" vertical="center" wrapText="1"/>
    </xf>
    <xf numFmtId="1" fontId="6" fillId="0" borderId="5" xfId="0" applyNumberFormat="1" applyFont="1" applyFill="1" applyBorder="1" applyAlignment="1">
      <alignment horizontal="center" vertical="center" wrapText="1"/>
    </xf>
    <xf numFmtId="1" fontId="32" fillId="25" borderId="5" xfId="0" applyNumberFormat="1" applyFont="1" applyFill="1" applyBorder="1" applyAlignment="1">
      <alignment horizontal="center" vertical="center"/>
    </xf>
    <xf numFmtId="0" fontId="5" fillId="31" borderId="5" xfId="0" applyNumberFormat="1" applyFont="1" applyFill="1" applyBorder="1" applyAlignment="1">
      <alignment horizontal="center" vertical="center" wrapText="1"/>
    </xf>
    <xf numFmtId="0" fontId="45" fillId="31" borderId="5" xfId="0" applyNumberFormat="1" applyFont="1" applyFill="1" applyBorder="1" applyAlignment="1">
      <alignment horizontal="center" vertical="center"/>
    </xf>
    <xf numFmtId="0" fontId="6" fillId="31" borderId="5" xfId="0" applyNumberFormat="1" applyFont="1" applyFill="1" applyBorder="1" applyAlignment="1">
      <alignment horizontal="center" vertical="center" wrapText="1"/>
    </xf>
    <xf numFmtId="0" fontId="48" fillId="31" borderId="5" xfId="0" applyNumberFormat="1" applyFont="1" applyFill="1" applyBorder="1" applyAlignment="1">
      <alignment horizontal="center" vertical="center" wrapText="1"/>
    </xf>
    <xf numFmtId="0" fontId="49" fillId="31" borderId="5" xfId="0" applyNumberFormat="1" applyFont="1" applyFill="1" applyBorder="1" applyAlignment="1">
      <alignment horizontal="center" vertical="center"/>
    </xf>
    <xf numFmtId="0" fontId="50" fillId="31" borderId="5" xfId="0" applyNumberFormat="1" applyFont="1" applyFill="1" applyBorder="1" applyAlignment="1">
      <alignment horizontal="center" vertical="center"/>
    </xf>
    <xf numFmtId="0" fontId="45" fillId="31" borderId="0" xfId="0" applyNumberFormat="1" applyFont="1" applyFill="1" applyBorder="1" applyAlignment="1">
      <alignment vertical="center"/>
    </xf>
    <xf numFmtId="0" fontId="5" fillId="32" borderId="5" xfId="0" applyNumberFormat="1" applyFont="1" applyFill="1" applyBorder="1" applyAlignment="1">
      <alignment horizontal="center" vertical="center" wrapText="1"/>
    </xf>
    <xf numFmtId="0" fontId="6" fillId="32" borderId="5" xfId="0" applyNumberFormat="1" applyFont="1" applyFill="1" applyBorder="1" applyAlignment="1">
      <alignment horizontal="center" vertical="center" wrapText="1"/>
    </xf>
    <xf numFmtId="0" fontId="0" fillId="33" borderId="5" xfId="0" applyNumberFormat="1" applyFont="1" applyFill="1" applyBorder="1" applyAlignment="1">
      <alignment horizontal="center" vertical="center"/>
    </xf>
    <xf numFmtId="0" fontId="48" fillId="32" borderId="5" xfId="0" applyNumberFormat="1" applyFont="1" applyFill="1" applyBorder="1" applyAlignment="1">
      <alignment horizontal="center" vertical="center" wrapText="1"/>
    </xf>
    <xf numFmtId="0" fontId="10" fillId="33" borderId="5" xfId="0" applyNumberFormat="1" applyFont="1" applyFill="1" applyBorder="1" applyAlignment="1">
      <alignment horizontal="center" vertical="center" wrapText="1"/>
    </xf>
    <xf numFmtId="0" fontId="51" fillId="32" borderId="5" xfId="0" applyNumberFormat="1" applyFont="1" applyFill="1" applyBorder="1" applyAlignment="1">
      <alignment horizontal="center" vertical="center" wrapText="1"/>
    </xf>
    <xf numFmtId="0" fontId="52" fillId="32" borderId="5" xfId="0" applyNumberFormat="1" applyFont="1" applyFill="1" applyBorder="1" applyAlignment="1">
      <alignment horizontal="center" vertical="center" wrapText="1"/>
    </xf>
    <xf numFmtId="0" fontId="49" fillId="32" borderId="5" xfId="0" applyNumberFormat="1" applyFont="1" applyFill="1" applyBorder="1" applyAlignment="1">
      <alignment horizontal="center" vertical="center"/>
    </xf>
    <xf numFmtId="0" fontId="50" fillId="32" borderId="5" xfId="0" applyNumberFormat="1" applyFont="1" applyFill="1" applyBorder="1" applyAlignment="1">
      <alignment horizontal="center" vertical="center"/>
    </xf>
    <xf numFmtId="0" fontId="33" fillId="33" borderId="5" xfId="0" applyNumberFormat="1" applyFont="1" applyFill="1" applyBorder="1" applyAlignment="1">
      <alignment horizontal="center" vertical="center"/>
    </xf>
    <xf numFmtId="0" fontId="45" fillId="32" borderId="0" xfId="0" applyNumberFormat="1" applyFont="1" applyFill="1" applyBorder="1" applyAlignment="1">
      <alignment vertical="center"/>
    </xf>
    <xf numFmtId="0" fontId="0" fillId="33" borderId="0" xfId="0" applyNumberFormat="1" applyFont="1" applyFill="1" applyBorder="1" applyAlignment="1">
      <alignment vertical="center"/>
    </xf>
    <xf numFmtId="1" fontId="6" fillId="0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horizontal="center" vertical="center" wrapText="1"/>
    </xf>
    <xf numFmtId="0" fontId="32" fillId="31" borderId="5" xfId="0" applyNumberFormat="1" applyFont="1" applyFill="1" applyBorder="1" applyAlignment="1">
      <alignment horizontal="center" vertical="center" wrapText="1"/>
    </xf>
    <xf numFmtId="1" fontId="46" fillId="10" borderId="5" xfId="0" applyNumberFormat="1" applyFont="1" applyFill="1" applyBorder="1" applyAlignment="1">
      <alignment horizontal="center" vertical="center" wrapText="1"/>
    </xf>
    <xf numFmtId="1" fontId="47" fillId="10" borderId="5" xfId="0" applyNumberFormat="1" applyFont="1" applyFill="1" applyBorder="1" applyAlignment="1">
      <alignment horizontal="center"/>
    </xf>
    <xf numFmtId="1" fontId="6" fillId="10" borderId="5" xfId="0" applyNumberFormat="1" applyFont="1" applyFill="1" applyBorder="1" applyAlignment="1">
      <alignment horizontal="center" vertical="center" wrapText="1"/>
    </xf>
    <xf numFmtId="1" fontId="49" fillId="10" borderId="5" xfId="0" applyNumberFormat="1" applyFont="1" applyFill="1" applyBorder="1" applyAlignment="1">
      <alignment horizontal="center" vertical="center"/>
    </xf>
    <xf numFmtId="1" fontId="0" fillId="10" borderId="0" xfId="0" applyNumberFormat="1" applyFont="1" applyFill="1" applyBorder="1" applyAlignment="1">
      <alignment vertical="center"/>
    </xf>
    <xf numFmtId="1" fontId="45" fillId="10" borderId="0" xfId="0" applyNumberFormat="1" applyFont="1" applyFill="1" applyBorder="1" applyAlignment="1">
      <alignment vertical="center"/>
    </xf>
    <xf numFmtId="0" fontId="5" fillId="9" borderId="5" xfId="0" applyNumberFormat="1" applyFont="1" applyFill="1" applyBorder="1" applyAlignment="1">
      <alignment horizontal="center" vertical="center" wrapText="1"/>
    </xf>
    <xf numFmtId="1" fontId="5" fillId="9" borderId="5" xfId="0" applyNumberFormat="1" applyFont="1" applyFill="1" applyBorder="1" applyAlignment="1">
      <alignment horizontal="center" vertical="center" wrapText="1"/>
    </xf>
    <xf numFmtId="0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176" fontId="6" fillId="25" borderId="5" xfId="0" applyNumberFormat="1" applyFont="1" applyFill="1" applyBorder="1" applyAlignment="1">
      <alignment horizontal="center" vertical="center" wrapText="1"/>
    </xf>
    <xf numFmtId="1" fontId="48" fillId="9" borderId="5" xfId="0" applyNumberFormat="1" applyFont="1" applyFill="1" applyBorder="1" applyAlignment="1">
      <alignment horizontal="center" vertical="center" wrapText="1"/>
    </xf>
    <xf numFmtId="1" fontId="49" fillId="9" borderId="5" xfId="0" applyNumberFormat="1" applyFont="1" applyFill="1" applyBorder="1" applyAlignment="1">
      <alignment horizontal="center" vertical="center"/>
    </xf>
    <xf numFmtId="1" fontId="45" fillId="9" borderId="0" xfId="0" applyNumberFormat="1" applyFont="1" applyFill="1" applyBorder="1" applyAlignment="1">
      <alignment vertical="center"/>
    </xf>
    <xf numFmtId="1" fontId="32" fillId="10" borderId="5" xfId="0" applyNumberFormat="1" applyFont="1" applyFill="1" applyBorder="1" applyAlignment="1">
      <alignment horizontal="center" vertical="center" wrapText="1"/>
    </xf>
    <xf numFmtId="0" fontId="53" fillId="25" borderId="5" xfId="0" applyNumberFormat="1" applyFont="1" applyFill="1" applyBorder="1" applyAlignment="1">
      <alignment horizontal="center" vertical="center" wrapText="1"/>
    </xf>
    <xf numFmtId="0" fontId="54" fillId="25" borderId="5" xfId="0" applyNumberFormat="1" applyFont="1" applyFill="1" applyBorder="1" applyAlignment="1">
      <alignment horizontal="center" vertical="center"/>
    </xf>
    <xf numFmtId="176" fontId="55" fillId="25" borderId="5" xfId="0" applyNumberFormat="1" applyFont="1" applyFill="1" applyBorder="1" applyAlignment="1">
      <alignment horizontal="center" vertical="center" wrapText="1"/>
    </xf>
    <xf numFmtId="176" fontId="47" fillId="25" borderId="5" xfId="0" applyNumberFormat="1" applyFont="1" applyFill="1" applyBorder="1" applyAlignment="1">
      <alignment horizontal="center"/>
    </xf>
    <xf numFmtId="176" fontId="53" fillId="25" borderId="5" xfId="0" applyNumberFormat="1" applyFont="1" applyFill="1" applyBorder="1" applyAlignment="1">
      <alignment horizontal="center" vertical="center" wrapText="1"/>
    </xf>
    <xf numFmtId="1" fontId="6" fillId="25" borderId="5" xfId="0" applyNumberFormat="1" applyFont="1" applyFill="1" applyBorder="1" applyAlignment="1">
      <alignment horizontal="center" vertical="center" wrapText="1"/>
    </xf>
    <xf numFmtId="0" fontId="5" fillId="25" borderId="5" xfId="0" applyNumberFormat="1" applyFont="1" applyFill="1" applyBorder="1" applyAlignment="1">
      <alignment horizontal="center" vertical="center" wrapText="1"/>
    </xf>
    <xf numFmtId="1" fontId="5" fillId="25" borderId="5" xfId="0" applyNumberFormat="1" applyFont="1" applyFill="1" applyBorder="1" applyAlignment="1">
      <alignment horizontal="center" vertical="center" wrapText="1"/>
    </xf>
    <xf numFmtId="0" fontId="54" fillId="0" borderId="5" xfId="0" applyNumberFormat="1" applyFont="1" applyFill="1" applyBorder="1" applyAlignment="1">
      <alignment horizontal="center" vertical="center"/>
    </xf>
    <xf numFmtId="176" fontId="54" fillId="0" borderId="5" xfId="0" applyNumberFormat="1" applyFont="1" applyFill="1" applyBorder="1" applyAlignment="1">
      <alignment horizontal="center" vertical="center"/>
    </xf>
    <xf numFmtId="176" fontId="45" fillId="0" borderId="5" xfId="0" applyNumberFormat="1" applyFont="1" applyFill="1" applyBorder="1" applyAlignment="1">
      <alignment horizontal="center" vertical="center"/>
    </xf>
    <xf numFmtId="0" fontId="53" fillId="0" borderId="5" xfId="0" applyNumberFormat="1" applyFont="1" applyFill="1" applyBorder="1" applyAlignment="1">
      <alignment horizontal="center" vertical="center" wrapText="1"/>
    </xf>
    <xf numFmtId="176" fontId="53" fillId="0" borderId="5" xfId="0" applyNumberFormat="1" applyFont="1" applyFill="1" applyBorder="1" applyAlignment="1">
      <alignment horizontal="center" vertical="center" wrapText="1"/>
    </xf>
    <xf numFmtId="0" fontId="52" fillId="25" borderId="5" xfId="0" applyNumberFormat="1" applyFont="1" applyFill="1" applyBorder="1" applyAlignment="1">
      <alignment horizontal="center" vertical="center" wrapText="1"/>
    </xf>
    <xf numFmtId="0" fontId="56" fillId="0" borderId="5" xfId="0" applyNumberFormat="1" applyFont="1" applyFill="1" applyBorder="1" applyAlignment="1">
      <alignment horizontal="center" vertical="center" wrapText="1"/>
    </xf>
    <xf numFmtId="0" fontId="57" fillId="0" borderId="5" xfId="0" applyNumberFormat="1" applyFont="1" applyFill="1" applyBorder="1" applyAlignment="1">
      <alignment horizontal="center" vertical="center" wrapText="1"/>
    </xf>
    <xf numFmtId="176" fontId="58" fillId="0" borderId="5" xfId="0" applyNumberFormat="1" applyFont="1" applyFill="1" applyBorder="1" applyAlignment="1">
      <alignment horizontal="center" vertical="center" wrapText="1"/>
    </xf>
    <xf numFmtId="0" fontId="49" fillId="25" borderId="5" xfId="0" applyNumberFormat="1" applyFont="1" applyFill="1" applyBorder="1" applyAlignment="1">
      <alignment horizontal="center" vertical="center"/>
    </xf>
    <xf numFmtId="1" fontId="49" fillId="25" borderId="5" xfId="0" applyNumberFormat="1" applyFont="1" applyFill="1" applyBorder="1" applyAlignment="1">
      <alignment horizontal="center" vertical="center"/>
    </xf>
    <xf numFmtId="0" fontId="59" fillId="25" borderId="5" xfId="0" applyNumberFormat="1" applyFont="1" applyFill="1" applyBorder="1" applyAlignment="1">
      <alignment horizontal="center" vertical="center"/>
    </xf>
    <xf numFmtId="176" fontId="59" fillId="25" borderId="5" xfId="0" applyNumberFormat="1" applyFont="1" applyFill="1" applyBorder="1" applyAlignment="1">
      <alignment horizontal="center" vertical="center"/>
    </xf>
    <xf numFmtId="176" fontId="49" fillId="25" borderId="5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vertical="center"/>
    </xf>
    <xf numFmtId="1" fontId="45" fillId="25" borderId="0" xfId="0" applyNumberFormat="1" applyFont="1" applyFill="1" applyBorder="1" applyAlignment="1">
      <alignment vertical="center"/>
    </xf>
    <xf numFmtId="0" fontId="54" fillId="0" borderId="0" xfId="0" applyNumberFormat="1" applyFont="1" applyFill="1" applyBorder="1" applyAlignment="1">
      <alignment vertical="center"/>
    </xf>
    <xf numFmtId="176" fontId="54" fillId="0" borderId="0" xfId="0" applyNumberFormat="1" applyFont="1" applyFill="1" applyBorder="1" applyAlignment="1">
      <alignment vertical="center"/>
    </xf>
    <xf numFmtId="176" fontId="45" fillId="0" borderId="0" xfId="0" applyNumberFormat="1" applyFont="1" applyFill="1" applyBorder="1" applyAlignment="1">
      <alignment vertical="center"/>
    </xf>
    <xf numFmtId="1" fontId="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vertical="center"/>
    </xf>
    <xf numFmtId="1" fontId="38" fillId="25" borderId="5" xfId="0" applyNumberFormat="1" applyFont="1" applyFill="1" applyBorder="1" applyAlignment="1">
      <alignment horizontal="center" vertical="center" wrapText="1"/>
    </xf>
    <xf numFmtId="1" fontId="40" fillId="28" borderId="5" xfId="0" applyNumberFormat="1" applyFont="1" applyFill="1" applyBorder="1" applyAlignment="1">
      <alignment horizontal="center" vertical="center" wrapText="1"/>
    </xf>
    <xf numFmtId="1" fontId="30" fillId="23" borderId="5" xfId="0" applyNumberFormat="1" applyFont="1" applyFill="1" applyBorder="1" applyAlignment="1">
      <alignment horizontal="center" vertical="center"/>
    </xf>
    <xf numFmtId="1" fontId="3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horizontal="center"/>
    </xf>
    <xf numFmtId="1" fontId="26" fillId="20" borderId="5" xfId="0" applyNumberFormat="1" applyFont="1" applyFill="1" applyBorder="1" applyAlignment="1">
      <alignment horizontal="center" vertical="center"/>
    </xf>
    <xf numFmtId="1" fontId="45" fillId="25" borderId="0" xfId="0" applyNumberFormat="1" applyFont="1" applyFill="1" applyBorder="1" applyAlignment="1">
      <alignment horizontal="center" vertical="center"/>
    </xf>
    <xf numFmtId="0" fontId="54" fillId="9" borderId="0" xfId="0" applyNumberFormat="1" applyFont="1" applyFill="1" applyBorder="1" applyAlignment="1">
      <alignment horizontal="center" vertical="center"/>
    </xf>
    <xf numFmtId="1" fontId="54" fillId="9" borderId="0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horizontal="center" vertical="center"/>
    </xf>
    <xf numFmtId="0" fontId="54" fillId="0" borderId="0" xfId="0" applyNumberFormat="1" applyFont="1" applyFill="1" applyBorder="1" applyAlignment="1">
      <alignment horizontal="center" vertical="center"/>
    </xf>
    <xf numFmtId="176" fontId="54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13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3" fillId="1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7" fillId="27" borderId="5" xfId="0" applyFont="1" applyFill="1" applyBorder="1" applyAlignment="1">
      <alignment horizontal="center" vertical="center" wrapText="1"/>
    </xf>
    <xf numFmtId="0" fontId="25" fillId="19" borderId="5" xfId="0" applyFont="1" applyFill="1" applyBorder="1" applyAlignment="1">
      <alignment horizontal="center" vertical="center"/>
    </xf>
    <xf numFmtId="0" fontId="25" fillId="20" borderId="5" xfId="0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zoomScaleNormal="60" zoomScaleSheetLayoutView="100" workbookViewId="0"/>
  </sheetViews>
  <sheetFormatPr defaultRowHeight="16.5" x14ac:dyDescent="0.25"/>
  <sheetData>
    <row r="1" spans="1:9" x14ac:dyDescent="0.25">
      <c r="A1" s="185" t="s">
        <v>0</v>
      </c>
      <c r="B1" s="186"/>
      <c r="C1" s="186"/>
      <c r="D1" s="186"/>
      <c r="E1" s="186"/>
      <c r="F1" s="186"/>
      <c r="G1" s="186"/>
      <c r="H1" s="186"/>
    </row>
    <row r="2" spans="1:9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 x14ac:dyDescent="0.3">
      <c r="A3" s="8" t="s">
        <v>10</v>
      </c>
      <c r="B3" s="125">
        <v>66</v>
      </c>
      <c r="C3" s="125">
        <v>97</v>
      </c>
      <c r="D3" s="125">
        <v>8</v>
      </c>
      <c r="E3" s="125">
        <v>10</v>
      </c>
      <c r="F3" s="125">
        <v>40</v>
      </c>
      <c r="G3" s="125">
        <v>12</v>
      </c>
      <c r="H3" s="125">
        <f>SUM(B3:G3)</f>
        <v>233</v>
      </c>
      <c r="I3" s="9" t="s">
        <v>11</v>
      </c>
    </row>
    <row r="4" spans="1:9" x14ac:dyDescent="0.3">
      <c r="A4" s="10" t="s">
        <v>9</v>
      </c>
      <c r="B4" s="32">
        <f t="shared" ref="B4:G4" si="0">B3/$H$3</f>
        <v>0.2832618025751073</v>
      </c>
      <c r="C4" s="32">
        <f t="shared" si="0"/>
        <v>0.41630901287553645</v>
      </c>
      <c r="D4" s="32">
        <f t="shared" si="0"/>
        <v>3.4334763948497854E-2</v>
      </c>
      <c r="E4" s="32">
        <f t="shared" si="0"/>
        <v>4.2918454935622317E-2</v>
      </c>
      <c r="F4" s="32">
        <f t="shared" si="0"/>
        <v>0.17167381974248927</v>
      </c>
      <c r="G4" s="32">
        <f t="shared" si="0"/>
        <v>5.1502145922746781E-2</v>
      </c>
    </row>
    <row r="9" spans="1:9" s="14" customFormat="1" ht="21.2" customHeight="1" x14ac:dyDescent="0.25"/>
    <row r="10" spans="1:9" s="14" customFormat="1" ht="21.2" customHeight="1" x14ac:dyDescent="0.25"/>
    <row r="11" spans="1:9" s="14" customFormat="1" ht="84.4" customHeight="1" x14ac:dyDescent="0.25"/>
    <row r="12" spans="1:9" s="14" customFormat="1" ht="21.2" customHeight="1" x14ac:dyDescent="0.25"/>
    <row r="14" spans="1:9" s="14" customFormat="1" ht="21.2" customHeight="1" x14ac:dyDescent="0.25"/>
    <row r="15" spans="1:9" s="14" customFormat="1" ht="31.7" customHeight="1" x14ac:dyDescent="0.25"/>
    <row r="16" spans="1:9" s="14" customFormat="1" ht="31.7" customHeight="1" x14ac:dyDescent="0.25"/>
    <row r="17" spans="13:13" s="14" customFormat="1" ht="21.2" customHeight="1" x14ac:dyDescent="0.25"/>
    <row r="18" spans="13:13" s="14" customFormat="1" ht="31.7" customHeight="1" x14ac:dyDescent="0.25"/>
    <row r="19" spans="13:13" s="14" customFormat="1" ht="31.7" customHeight="1" x14ac:dyDescent="0.25"/>
    <row r="20" spans="13:13" s="14" customFormat="1" ht="31.7" customHeight="1" x14ac:dyDescent="0.25"/>
    <row r="21" spans="13:13" s="14" customFormat="1" ht="21.2" customHeight="1" x14ac:dyDescent="0.25"/>
    <row r="22" spans="13:13" s="14" customFormat="1" ht="21.2" customHeight="1" x14ac:dyDescent="0.25"/>
    <row r="23" spans="13:13" s="14" customFormat="1" ht="21.2" customHeight="1" x14ac:dyDescent="0.25"/>
    <row r="24" spans="13:13" s="14" customFormat="1" ht="21.2" customHeight="1" x14ac:dyDescent="0.25"/>
    <row r="25" spans="13:13" s="14" customFormat="1" ht="21.2" customHeight="1" x14ac:dyDescent="0.25"/>
    <row r="26" spans="13:13" s="14" customFormat="1" ht="31.7" customHeight="1" x14ac:dyDescent="0.25"/>
    <row r="27" spans="13:13" s="14" customFormat="1" ht="63.4" customHeight="1" x14ac:dyDescent="0.25"/>
    <row r="28" spans="13:13" s="14" customFormat="1" ht="21.2" customHeight="1" x14ac:dyDescent="0.25"/>
    <row r="29" spans="13:13" x14ac:dyDescent="0.25">
      <c r="M29" s="33"/>
    </row>
    <row r="30" spans="13:13" s="14" customFormat="1" ht="31.7" customHeight="1" x14ac:dyDescent="0.25"/>
    <row r="31" spans="13:13" s="14" customFormat="1" ht="52.9" customHeight="1" x14ac:dyDescent="0.25"/>
    <row r="32" spans="13:13" s="14" customFormat="1" ht="21.2" customHeight="1" x14ac:dyDescent="0.25"/>
    <row r="34" s="14" customFormat="1" ht="21.2" customHeight="1" x14ac:dyDescent="0.25"/>
    <row r="35" s="14" customFormat="1" ht="21.2" customHeight="1" x14ac:dyDescent="0.25"/>
    <row r="36" s="14" customFormat="1" ht="21.2" customHeight="1" x14ac:dyDescent="0.25"/>
    <row r="37" s="14" customFormat="1" ht="21.2" customHeight="1" x14ac:dyDescent="0.25"/>
    <row r="38" s="14" customFormat="1" ht="21.2" customHeight="1" x14ac:dyDescent="0.25"/>
    <row r="39" s="14" customFormat="1" ht="42.4" customHeight="1" x14ac:dyDescent="0.25"/>
    <row r="40" s="14" customFormat="1" ht="42.4" customHeight="1" x14ac:dyDescent="0.25"/>
    <row r="41" s="14" customFormat="1" ht="21.2" customHeight="1" x14ac:dyDescent="0.25"/>
    <row r="42" s="14" customFormat="1" ht="21.2" customHeight="1" x14ac:dyDescent="0.25"/>
    <row r="43" s="14" customFormat="1" ht="52.9" customHeight="1" x14ac:dyDescent="0.25"/>
    <row r="44" s="14" customFormat="1" ht="31.7" customHeight="1" x14ac:dyDescent="0.25"/>
    <row r="45" s="14" customFormat="1" ht="42.4" customHeight="1" x14ac:dyDescent="0.25"/>
    <row r="46" s="14" customFormat="1" ht="21.2" customHeight="1" x14ac:dyDescent="0.25"/>
    <row r="47" s="14" customFormat="1" ht="21.2" customHeight="1" x14ac:dyDescent="0.25"/>
    <row r="48" s="14" customFormat="1" ht="21.2" customHeight="1" x14ac:dyDescent="0.25"/>
    <row r="49" s="14" customFormat="1" ht="21.2" customHeight="1" x14ac:dyDescent="0.25"/>
    <row r="50" s="14" customFormat="1" ht="21.2" customHeight="1" x14ac:dyDescent="0.25"/>
    <row r="51" s="14" customFormat="1" ht="21.2" customHeight="1" x14ac:dyDescent="0.25"/>
    <row r="52" s="14" customFormat="1" ht="52.9" customHeight="1" x14ac:dyDescent="0.25"/>
    <row r="53" s="14" customFormat="1" ht="21.2" customHeight="1" x14ac:dyDescent="0.25"/>
    <row r="54" s="14" customFormat="1" ht="52.9" customHeight="1" x14ac:dyDescent="0.25"/>
    <row r="55" s="14" customFormat="1" ht="52.9" customHeight="1" x14ac:dyDescent="0.25"/>
    <row r="56" s="14" customFormat="1" ht="21.2" customHeight="1" x14ac:dyDescent="0.25"/>
    <row r="57" s="14" customFormat="1" ht="21.2" customHeight="1" x14ac:dyDescent="0.25"/>
    <row r="58" s="14" customFormat="1" ht="31.7" customHeight="1" x14ac:dyDescent="0.25"/>
    <row r="59" s="14" customFormat="1" ht="31.7" customHeight="1" x14ac:dyDescent="0.25"/>
    <row r="60" s="14" customFormat="1" ht="42.4" customHeight="1" x14ac:dyDescent="0.25"/>
    <row r="61" s="14" customFormat="1" ht="21.2" customHeight="1" x14ac:dyDescent="0.25"/>
    <row r="62" s="14" customFormat="1" ht="31.7" customHeight="1" x14ac:dyDescent="0.25"/>
    <row r="63" s="14" customFormat="1" ht="31.7" customHeight="1" x14ac:dyDescent="0.25"/>
    <row r="64" s="14" customFormat="1" ht="31.7" customHeight="1" x14ac:dyDescent="0.25"/>
    <row r="65" s="14" customFormat="1" ht="21.2" customHeight="1" x14ac:dyDescent="0.25"/>
    <row r="66" s="14" customFormat="1" ht="42.4" customHeight="1" x14ac:dyDescent="0.25"/>
    <row r="67" s="14" customFormat="1" ht="52.9" customHeight="1" x14ac:dyDescent="0.25"/>
    <row r="68" s="14" customFormat="1" ht="21.2" customHeight="1" x14ac:dyDescent="0.25"/>
    <row r="69" s="14" customFormat="1" ht="21.2" customHeight="1" x14ac:dyDescent="0.25"/>
    <row r="70" s="14" customFormat="1" ht="21.2" customHeight="1" x14ac:dyDescent="0.25"/>
    <row r="71" s="14" customFormat="1" ht="31.7" customHeight="1" x14ac:dyDescent="0.25"/>
    <row r="72" s="14" customFormat="1" ht="21.2" customHeight="1" x14ac:dyDescent="0.25"/>
    <row r="73" s="14" customFormat="1" ht="21.2" customHeight="1" x14ac:dyDescent="0.25"/>
    <row r="74" s="14" customFormat="1" ht="52.9" customHeight="1" x14ac:dyDescent="0.25"/>
    <row r="75" s="14" customFormat="1" ht="21.2" customHeight="1" x14ac:dyDescent="0.25"/>
    <row r="76" s="14" customFormat="1" ht="21.2" customHeight="1" x14ac:dyDescent="0.25"/>
    <row r="82" s="14" customFormat="1" ht="21.2" customHeight="1" x14ac:dyDescent="0.25"/>
    <row r="83" s="14" customFormat="1" ht="21.2" customHeight="1" x14ac:dyDescent="0.25"/>
    <row r="84" s="14" customFormat="1" ht="31.7" customHeight="1" x14ac:dyDescent="0.25"/>
    <row r="85" s="14" customFormat="1" ht="21.2" customHeight="1" x14ac:dyDescent="0.25"/>
    <row r="86" s="14" customFormat="1" ht="21.2" customHeight="1" x14ac:dyDescent="0.25"/>
    <row r="87" s="14" customFormat="1" ht="21.2" customHeight="1" x14ac:dyDescent="0.25"/>
    <row r="88" s="14" customFormat="1" ht="21.2" customHeight="1" x14ac:dyDescent="0.25"/>
    <row r="89" s="14" customFormat="1" ht="21.2" customHeight="1" x14ac:dyDescent="0.25"/>
    <row r="90" s="14" customFormat="1" ht="21.2" customHeight="1" x14ac:dyDescent="0.25"/>
    <row r="91" s="14" customFormat="1" ht="21.2" customHeight="1" x14ac:dyDescent="0.25"/>
    <row r="92" s="14" customFormat="1" ht="21.2" customHeight="1" x14ac:dyDescent="0.25"/>
    <row r="93" s="14" customFormat="1" ht="21.2" customHeight="1" x14ac:dyDescent="0.25"/>
    <row r="94" s="14" customFormat="1" ht="31.7" customHeight="1" x14ac:dyDescent="0.25"/>
    <row r="95" s="14" customFormat="1" ht="21.2" customHeight="1" x14ac:dyDescent="0.25"/>
    <row r="96" s="14" customFormat="1" ht="21.2" customHeight="1" x14ac:dyDescent="0.25"/>
    <row r="97" s="14" customFormat="1" ht="21.2" customHeight="1" x14ac:dyDescent="0.25"/>
    <row r="98" s="14" customFormat="1" ht="21.2" customHeight="1" x14ac:dyDescent="0.25"/>
    <row r="99" s="14" customFormat="1" ht="21.2" customHeight="1" x14ac:dyDescent="0.25"/>
    <row r="100" s="14" customFormat="1" ht="21.2" customHeight="1" x14ac:dyDescent="0.25"/>
    <row r="101" s="14" customFormat="1" ht="21.2" customHeight="1" x14ac:dyDescent="0.25"/>
    <row r="102" s="14" customFormat="1" ht="21.2" customHeight="1" x14ac:dyDescent="0.25"/>
    <row r="103" s="14" customFormat="1" ht="21.2" customHeight="1" x14ac:dyDescent="0.25"/>
    <row r="104" s="14" customFormat="1" ht="31.7" customHeight="1" x14ac:dyDescent="0.25"/>
    <row r="105" s="14" customFormat="1" ht="21.2" customHeight="1" x14ac:dyDescent="0.25"/>
    <row r="106" s="14" customFormat="1" ht="21.2" customHeight="1" x14ac:dyDescent="0.25"/>
    <row r="107" s="14" customFormat="1" ht="21.2" customHeight="1" x14ac:dyDescent="0.25"/>
    <row r="108" s="14" customFormat="1" ht="21.2" customHeight="1" x14ac:dyDescent="0.25"/>
    <row r="109" s="14" customFormat="1" ht="21.2" customHeight="1" x14ac:dyDescent="0.25"/>
    <row r="110" s="14" customFormat="1" ht="21.2" customHeight="1" x14ac:dyDescent="0.25"/>
    <row r="111" s="14" customFormat="1" ht="21.2" customHeight="1" x14ac:dyDescent="0.25"/>
    <row r="112" s="14" customFormat="1" ht="21.2" customHeight="1" x14ac:dyDescent="0.25"/>
    <row r="113" s="14" customFormat="1" ht="21.2" customHeight="1" x14ac:dyDescent="0.25"/>
    <row r="114" s="14" customFormat="1" ht="21.2" customHeight="1" x14ac:dyDescent="0.25"/>
    <row r="115" s="14" customFormat="1" ht="21.2" customHeight="1" x14ac:dyDescent="0.25"/>
    <row r="116" s="14" customFormat="1" ht="21.2" customHeight="1" x14ac:dyDescent="0.25"/>
    <row r="117" s="14" customFormat="1" ht="21.2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3"/>
  <sheetViews>
    <sheetView zoomScaleNormal="60" zoomScaleSheetLayoutView="100" workbookViewId="0"/>
  </sheetViews>
  <sheetFormatPr defaultRowHeight="16.5" x14ac:dyDescent="0.2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 spans="1:12" x14ac:dyDescent="0.25">
      <c r="A1" s="187" t="s">
        <v>12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x14ac:dyDescent="0.3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 spans="1:12" x14ac:dyDescent="0.3">
      <c r="A3" s="43" t="s">
        <v>19</v>
      </c>
      <c r="B3" s="43" t="s">
        <v>20</v>
      </c>
      <c r="C3" s="43" t="s">
        <v>21</v>
      </c>
      <c r="D3" s="43"/>
      <c r="E3" s="103">
        <v>1</v>
      </c>
      <c r="F3" s="103">
        <v>1</v>
      </c>
      <c r="G3" s="103">
        <v>0</v>
      </c>
      <c r="H3" s="103">
        <v>0</v>
      </c>
      <c r="I3" s="103">
        <v>0</v>
      </c>
      <c r="J3" s="103">
        <v>0</v>
      </c>
      <c r="K3" s="104">
        <v>2</v>
      </c>
      <c r="L3" s="82"/>
    </row>
    <row r="4" spans="1:12" x14ac:dyDescent="0.3">
      <c r="A4" s="43" t="s">
        <v>19</v>
      </c>
      <c r="B4" s="43" t="s">
        <v>22</v>
      </c>
      <c r="C4" s="43" t="s">
        <v>23</v>
      </c>
      <c r="D4" s="43"/>
      <c r="E4" s="103">
        <v>1</v>
      </c>
      <c r="F4" s="103">
        <v>1</v>
      </c>
      <c r="G4" s="103">
        <v>0</v>
      </c>
      <c r="H4" s="103">
        <v>0</v>
      </c>
      <c r="I4" s="103">
        <v>1</v>
      </c>
      <c r="J4" s="103">
        <v>0</v>
      </c>
      <c r="K4" s="104">
        <v>3</v>
      </c>
      <c r="L4" s="82"/>
    </row>
    <row r="5" spans="1:12" s="14" customFormat="1" ht="17.25" x14ac:dyDescent="0.3">
      <c r="A5" s="43" t="s">
        <v>19</v>
      </c>
      <c r="B5" s="43" t="s">
        <v>24</v>
      </c>
      <c r="C5" s="43" t="s">
        <v>23</v>
      </c>
      <c r="D5" s="43"/>
      <c r="E5" s="103">
        <v>1</v>
      </c>
      <c r="F5" s="103">
        <v>1</v>
      </c>
      <c r="G5" s="103">
        <v>0</v>
      </c>
      <c r="H5" s="103">
        <v>0</v>
      </c>
      <c r="I5" s="103">
        <v>1</v>
      </c>
      <c r="J5" s="103">
        <v>0</v>
      </c>
      <c r="K5" s="104">
        <v>3</v>
      </c>
      <c r="L5" s="38"/>
    </row>
    <row r="6" spans="1:12" s="14" customFormat="1" ht="17.25" x14ac:dyDescent="0.3">
      <c r="A6" s="134" t="s">
        <v>25</v>
      </c>
      <c r="B6" s="136"/>
      <c r="C6" s="136"/>
      <c r="D6" s="136"/>
      <c r="E6" s="135">
        <f t="shared" ref="E6:K6" si="0">SUM(E3:E5)</f>
        <v>3</v>
      </c>
      <c r="F6" s="135">
        <f t="shared" si="0"/>
        <v>3</v>
      </c>
      <c r="G6" s="135">
        <f t="shared" si="0"/>
        <v>0</v>
      </c>
      <c r="H6" s="135">
        <f t="shared" si="0"/>
        <v>0</v>
      </c>
      <c r="I6" s="135">
        <f t="shared" si="0"/>
        <v>2</v>
      </c>
      <c r="J6" s="135">
        <f t="shared" si="0"/>
        <v>0</v>
      </c>
      <c r="K6" s="135">
        <f t="shared" si="0"/>
        <v>8</v>
      </c>
      <c r="L6" s="114"/>
    </row>
    <row r="7" spans="1:12" s="14" customFormat="1" ht="17.25" x14ac:dyDescent="0.3">
      <c r="A7" s="143" t="s">
        <v>26</v>
      </c>
      <c r="B7" s="144"/>
      <c r="C7" s="144"/>
      <c r="D7" s="144"/>
      <c r="E7" s="145">
        <f>IF($K$6=0,0,E6/$K$6)</f>
        <v>0.375</v>
      </c>
      <c r="F7" s="145">
        <f>IF($K$6=0,0,F6/$K$6)</f>
        <v>0.375</v>
      </c>
      <c r="G7" s="145">
        <f>IF($K$6=0,0,G6/$K$6)</f>
        <v>0</v>
      </c>
      <c r="H7" s="145">
        <f>IF($K$6=0,0,H6/$K$6)</f>
        <v>0</v>
      </c>
      <c r="I7" s="145">
        <f>IF($K$6=0,0,I6/$K$6)</f>
        <v>0.25</v>
      </c>
      <c r="J7" s="145">
        <f>IF($K$6=0,0,J6/$K$6)</f>
        <v>0</v>
      </c>
      <c r="K7" s="146">
        <f>IF($K$6=0,0,K6/$K$6)</f>
        <v>1</v>
      </c>
      <c r="L7" s="115"/>
    </row>
    <row r="8" spans="1:12" x14ac:dyDescent="0.3">
      <c r="A8" s="43" t="s">
        <v>27</v>
      </c>
      <c r="B8" s="43" t="s">
        <v>28</v>
      </c>
      <c r="C8" s="43" t="s">
        <v>29</v>
      </c>
      <c r="D8" s="43"/>
      <c r="E8" s="103">
        <v>2</v>
      </c>
      <c r="F8" s="103">
        <v>4</v>
      </c>
      <c r="G8" s="103">
        <v>0</v>
      </c>
      <c r="H8" s="103">
        <v>0</v>
      </c>
      <c r="I8" s="103">
        <v>2</v>
      </c>
      <c r="J8" s="103">
        <v>0</v>
      </c>
      <c r="K8" s="104">
        <v>8</v>
      </c>
      <c r="L8" s="82"/>
    </row>
    <row r="9" spans="1:12" x14ac:dyDescent="0.3">
      <c r="A9" s="43" t="s">
        <v>27</v>
      </c>
      <c r="B9" s="43" t="s">
        <v>30</v>
      </c>
      <c r="C9" s="43" t="s">
        <v>31</v>
      </c>
      <c r="D9" s="43"/>
      <c r="E9" s="103">
        <v>2</v>
      </c>
      <c r="F9" s="103">
        <v>2</v>
      </c>
      <c r="G9" s="103">
        <v>1</v>
      </c>
      <c r="H9" s="103">
        <v>1</v>
      </c>
      <c r="I9" s="103">
        <v>0</v>
      </c>
      <c r="J9" s="103">
        <v>0</v>
      </c>
      <c r="K9" s="104">
        <v>6</v>
      </c>
      <c r="L9" s="82"/>
    </row>
    <row r="10" spans="1:12" s="14" customFormat="1" ht="17.25" x14ac:dyDescent="0.3">
      <c r="A10" s="43" t="s">
        <v>27</v>
      </c>
      <c r="B10" s="43" t="s">
        <v>32</v>
      </c>
      <c r="C10" s="43" t="s">
        <v>33</v>
      </c>
      <c r="D10" s="43"/>
      <c r="E10" s="103">
        <v>1</v>
      </c>
      <c r="F10" s="103">
        <v>2</v>
      </c>
      <c r="G10" s="103">
        <v>0</v>
      </c>
      <c r="H10" s="103">
        <v>1</v>
      </c>
      <c r="I10" s="103">
        <v>1</v>
      </c>
      <c r="J10" s="103">
        <v>0</v>
      </c>
      <c r="K10" s="104">
        <v>5</v>
      </c>
      <c r="L10" s="82"/>
    </row>
    <row r="11" spans="1:12" x14ac:dyDescent="0.3">
      <c r="A11" s="43" t="s">
        <v>27</v>
      </c>
      <c r="B11" s="43" t="s">
        <v>34</v>
      </c>
      <c r="C11" s="43" t="s">
        <v>35</v>
      </c>
      <c r="D11" s="43"/>
      <c r="E11" s="103">
        <v>1</v>
      </c>
      <c r="F11" s="103">
        <v>1</v>
      </c>
      <c r="G11" s="103">
        <v>0</v>
      </c>
      <c r="H11" s="103">
        <v>0</v>
      </c>
      <c r="I11" s="103">
        <v>1</v>
      </c>
      <c r="J11" s="103">
        <v>0</v>
      </c>
      <c r="K11" s="104">
        <v>3</v>
      </c>
      <c r="L11" s="82"/>
    </row>
    <row r="12" spans="1:12" x14ac:dyDescent="0.3">
      <c r="A12" s="43" t="s">
        <v>27</v>
      </c>
      <c r="B12" s="43" t="s">
        <v>36</v>
      </c>
      <c r="C12" s="43" t="s">
        <v>37</v>
      </c>
      <c r="D12" s="43"/>
      <c r="E12" s="103">
        <v>2</v>
      </c>
      <c r="F12" s="103">
        <v>3</v>
      </c>
      <c r="G12" s="103">
        <v>0</v>
      </c>
      <c r="H12" s="103">
        <v>0</v>
      </c>
      <c r="I12" s="103">
        <v>1</v>
      </c>
      <c r="J12" s="103">
        <v>0</v>
      </c>
      <c r="K12" s="104">
        <v>6</v>
      </c>
      <c r="L12" s="82"/>
    </row>
    <row r="13" spans="1:12" x14ac:dyDescent="0.3">
      <c r="A13" s="43" t="s">
        <v>27</v>
      </c>
      <c r="B13" s="43" t="s">
        <v>38</v>
      </c>
      <c r="C13" s="43" t="s">
        <v>39</v>
      </c>
      <c r="D13" s="43"/>
      <c r="E13" s="103">
        <v>1</v>
      </c>
      <c r="F13" s="103">
        <v>2</v>
      </c>
      <c r="G13" s="103">
        <v>0</v>
      </c>
      <c r="H13" s="103">
        <v>1</v>
      </c>
      <c r="I13" s="103">
        <v>0</v>
      </c>
      <c r="J13" s="103">
        <v>0</v>
      </c>
      <c r="K13" s="104">
        <v>4</v>
      </c>
      <c r="L13" s="82"/>
    </row>
    <row r="14" spans="1:12" x14ac:dyDescent="0.3">
      <c r="A14" s="43" t="s">
        <v>27</v>
      </c>
      <c r="B14" s="43" t="s">
        <v>40</v>
      </c>
      <c r="C14" s="43" t="s">
        <v>41</v>
      </c>
      <c r="D14" s="43"/>
      <c r="E14" s="103">
        <v>1</v>
      </c>
      <c r="F14" s="103">
        <v>2</v>
      </c>
      <c r="G14" s="103">
        <v>0</v>
      </c>
      <c r="H14" s="103">
        <v>0</v>
      </c>
      <c r="I14" s="103">
        <v>1</v>
      </c>
      <c r="J14" s="103">
        <v>0</v>
      </c>
      <c r="K14" s="104">
        <v>4</v>
      </c>
      <c r="L14" s="82"/>
    </row>
    <row r="15" spans="1:12" x14ac:dyDescent="0.3">
      <c r="A15" s="43" t="s">
        <v>27</v>
      </c>
      <c r="B15" s="43" t="s">
        <v>42</v>
      </c>
      <c r="C15" s="43" t="s">
        <v>43</v>
      </c>
      <c r="D15" s="43"/>
      <c r="E15" s="103">
        <v>2</v>
      </c>
      <c r="F15" s="103">
        <v>3</v>
      </c>
      <c r="G15" s="103">
        <v>1</v>
      </c>
      <c r="H15" s="103">
        <v>0</v>
      </c>
      <c r="I15" s="103">
        <v>1</v>
      </c>
      <c r="J15" s="103">
        <v>0</v>
      </c>
      <c r="K15" s="104">
        <v>7</v>
      </c>
      <c r="L15" s="82"/>
    </row>
    <row r="16" spans="1:12" x14ac:dyDescent="0.3">
      <c r="A16" s="43" t="s">
        <v>27</v>
      </c>
      <c r="B16" s="43" t="s">
        <v>44</v>
      </c>
      <c r="C16" s="43" t="s">
        <v>45</v>
      </c>
      <c r="D16" s="43"/>
      <c r="E16" s="103">
        <v>1</v>
      </c>
      <c r="F16" s="103">
        <v>2</v>
      </c>
      <c r="G16" s="103">
        <v>0</v>
      </c>
      <c r="H16" s="103">
        <v>0</v>
      </c>
      <c r="I16" s="103">
        <v>1</v>
      </c>
      <c r="J16" s="103">
        <v>0</v>
      </c>
      <c r="K16" s="104">
        <v>4</v>
      </c>
      <c r="L16" s="82"/>
    </row>
    <row r="17" spans="1:12" x14ac:dyDescent="0.3">
      <c r="A17" s="43" t="s">
        <v>27</v>
      </c>
      <c r="B17" s="43" t="s">
        <v>46</v>
      </c>
      <c r="C17" s="43" t="s">
        <v>47</v>
      </c>
      <c r="D17" s="43"/>
      <c r="E17" s="103">
        <v>0</v>
      </c>
      <c r="F17" s="103">
        <v>1</v>
      </c>
      <c r="G17" s="103">
        <v>0</v>
      </c>
      <c r="H17" s="103">
        <v>0</v>
      </c>
      <c r="I17" s="103">
        <v>1</v>
      </c>
      <c r="J17" s="103">
        <v>0</v>
      </c>
      <c r="K17" s="104">
        <v>2</v>
      </c>
      <c r="L17" s="82"/>
    </row>
    <row r="18" spans="1:12" x14ac:dyDescent="0.3">
      <c r="A18" s="43" t="s">
        <v>27</v>
      </c>
      <c r="B18" s="43" t="s">
        <v>48</v>
      </c>
      <c r="C18" s="43" t="s">
        <v>49</v>
      </c>
      <c r="D18" s="43"/>
      <c r="E18" s="103">
        <v>0</v>
      </c>
      <c r="F18" s="103">
        <v>2</v>
      </c>
      <c r="G18" s="103">
        <v>0</v>
      </c>
      <c r="H18" s="103">
        <v>1</v>
      </c>
      <c r="I18" s="103">
        <v>1</v>
      </c>
      <c r="J18" s="103">
        <v>0</v>
      </c>
      <c r="K18" s="104">
        <v>4</v>
      </c>
      <c r="L18" s="82"/>
    </row>
    <row r="19" spans="1:12" x14ac:dyDescent="0.3">
      <c r="A19" s="43" t="s">
        <v>27</v>
      </c>
      <c r="B19" s="85" t="s">
        <v>50</v>
      </c>
      <c r="C19" s="43" t="s">
        <v>51</v>
      </c>
      <c r="D19" s="43"/>
      <c r="E19" s="103">
        <v>1</v>
      </c>
      <c r="F19" s="103">
        <v>2</v>
      </c>
      <c r="G19" s="103">
        <v>0</v>
      </c>
      <c r="H19" s="103">
        <v>0</v>
      </c>
      <c r="I19" s="103">
        <v>1</v>
      </c>
      <c r="J19" s="103">
        <v>0</v>
      </c>
      <c r="K19" s="104">
        <v>4</v>
      </c>
      <c r="L19" s="82"/>
    </row>
    <row r="20" spans="1:12" x14ac:dyDescent="0.3">
      <c r="A20" s="43" t="s">
        <v>27</v>
      </c>
      <c r="B20" s="43" t="s">
        <v>52</v>
      </c>
      <c r="C20" s="43" t="s">
        <v>53</v>
      </c>
      <c r="D20" s="43"/>
      <c r="E20" s="103">
        <v>1</v>
      </c>
      <c r="F20" s="103">
        <v>2</v>
      </c>
      <c r="G20" s="103">
        <v>0</v>
      </c>
      <c r="H20" s="103">
        <v>0</v>
      </c>
      <c r="I20" s="103">
        <v>0</v>
      </c>
      <c r="J20" s="103">
        <v>0</v>
      </c>
      <c r="K20" s="104">
        <v>3</v>
      </c>
      <c r="L20" s="38"/>
    </row>
    <row r="21" spans="1:12" s="14" customFormat="1" ht="17.25" x14ac:dyDescent="0.3">
      <c r="A21" s="43" t="s">
        <v>27</v>
      </c>
      <c r="B21" s="43" t="s">
        <v>54</v>
      </c>
      <c r="C21" s="43" t="s">
        <v>33</v>
      </c>
      <c r="D21" s="43"/>
      <c r="E21" s="103">
        <v>2</v>
      </c>
      <c r="F21" s="103">
        <v>3</v>
      </c>
      <c r="G21" s="103">
        <v>0</v>
      </c>
      <c r="H21" s="103">
        <v>0</v>
      </c>
      <c r="I21" s="103">
        <v>0</v>
      </c>
      <c r="J21" s="103">
        <v>1</v>
      </c>
      <c r="K21" s="104">
        <v>6</v>
      </c>
      <c r="L21" s="38"/>
    </row>
    <row r="22" spans="1:12" s="14" customFormat="1" ht="17.25" x14ac:dyDescent="0.3">
      <c r="A22" s="83" t="s">
        <v>27</v>
      </c>
      <c r="B22" s="84" t="s">
        <v>227</v>
      </c>
      <c r="C22" s="84" t="s">
        <v>228</v>
      </c>
      <c r="D22" s="84"/>
      <c r="E22" s="98">
        <v>1</v>
      </c>
      <c r="F22" s="98">
        <v>2</v>
      </c>
      <c r="G22" s="98">
        <v>0</v>
      </c>
      <c r="H22" s="98">
        <v>0</v>
      </c>
      <c r="I22" s="98">
        <v>1</v>
      </c>
      <c r="J22" s="98">
        <v>0</v>
      </c>
      <c r="K22" s="98">
        <f>SUM(E22:J22)</f>
        <v>4</v>
      </c>
      <c r="L22" s="84"/>
    </row>
    <row r="23" spans="1:12" s="14" customFormat="1" ht="17.25" x14ac:dyDescent="0.3">
      <c r="A23" s="106" t="s">
        <v>27</v>
      </c>
      <c r="B23" s="107" t="s">
        <v>229</v>
      </c>
      <c r="C23" s="107" t="s">
        <v>63</v>
      </c>
      <c r="D23" s="107"/>
      <c r="E23" s="128">
        <v>1</v>
      </c>
      <c r="F23" s="128">
        <v>2</v>
      </c>
      <c r="G23" s="128">
        <v>0</v>
      </c>
      <c r="H23" s="128">
        <v>0</v>
      </c>
      <c r="I23" s="128">
        <v>0</v>
      </c>
      <c r="J23" s="128">
        <v>0</v>
      </c>
      <c r="K23" s="129">
        <f>SUM(E23:J23)</f>
        <v>3</v>
      </c>
      <c r="L23" s="107"/>
    </row>
    <row r="24" spans="1:12" s="14" customFormat="1" ht="17.25" x14ac:dyDescent="0.3">
      <c r="A24" s="134" t="s">
        <v>230</v>
      </c>
      <c r="B24" s="134"/>
      <c r="C24" s="134"/>
      <c r="D24" s="134"/>
      <c r="E24" s="135">
        <f>SUM(E8:E23)</f>
        <v>19</v>
      </c>
      <c r="F24" s="135">
        <f>SUM(F8:F23)</f>
        <v>35</v>
      </c>
      <c r="G24" s="135">
        <f>SUM(G8:G23)</f>
        <v>2</v>
      </c>
      <c r="H24" s="135">
        <f>SUM(H8:H23)</f>
        <v>4</v>
      </c>
      <c r="I24" s="135">
        <f>SUM(I8:I23)</f>
        <v>12</v>
      </c>
      <c r="J24" s="135">
        <f>SUM(J8:J23)</f>
        <v>1</v>
      </c>
      <c r="K24" s="137">
        <f>SUM(K8:K23)</f>
        <v>73</v>
      </c>
      <c r="L24" s="116"/>
    </row>
    <row r="25" spans="1:12" x14ac:dyDescent="0.3">
      <c r="A25" s="143" t="s">
        <v>26</v>
      </c>
      <c r="B25" s="143"/>
      <c r="C25" s="143"/>
      <c r="D25" s="143"/>
      <c r="E25" s="147">
        <f>IF($K$24=0,0,E24/$K$24)</f>
        <v>0.26027397260273971</v>
      </c>
      <c r="F25" s="147">
        <f>IF($K$24=0,0,F24/$K$24)</f>
        <v>0.47945205479452052</v>
      </c>
      <c r="G25" s="147">
        <f>IF($K$24=0,0,G24/$K$24)</f>
        <v>2.7397260273972601E-2</v>
      </c>
      <c r="H25" s="147">
        <f>IF($K$24=0,0,H24/$K$24)</f>
        <v>5.4794520547945202E-2</v>
      </c>
      <c r="I25" s="147">
        <f>IF($K$24=0,0,I24/$K$24)</f>
        <v>0.16438356164383561</v>
      </c>
      <c r="J25" s="147">
        <f>IF($K$24=0,0,J24/$K$24)</f>
        <v>1.3698630136986301E-2</v>
      </c>
      <c r="K25" s="138">
        <f>IF($K$24=0,0,K24/$K$24)</f>
        <v>1</v>
      </c>
      <c r="L25" s="117"/>
    </row>
    <row r="26" spans="1:12" x14ac:dyDescent="0.25">
      <c r="A26" s="38" t="s">
        <v>231</v>
      </c>
      <c r="B26" s="38" t="s">
        <v>232</v>
      </c>
      <c r="C26" s="38" t="s">
        <v>69</v>
      </c>
      <c r="D26" s="38"/>
      <c r="E26" s="170">
        <v>1</v>
      </c>
      <c r="F26" s="170">
        <v>1</v>
      </c>
      <c r="G26" s="170">
        <v>0</v>
      </c>
      <c r="H26" s="170">
        <v>0</v>
      </c>
      <c r="I26" s="170">
        <v>1</v>
      </c>
      <c r="J26" s="170">
        <v>0</v>
      </c>
      <c r="K26" s="170">
        <v>3</v>
      </c>
      <c r="L26" s="38"/>
    </row>
    <row r="27" spans="1:12" s="14" customFormat="1" x14ac:dyDescent="0.25">
      <c r="A27" s="86" t="s">
        <v>231</v>
      </c>
      <c r="B27" s="86" t="s">
        <v>209</v>
      </c>
      <c r="C27" s="86" t="s">
        <v>76</v>
      </c>
      <c r="D27" s="86"/>
      <c r="E27" s="170">
        <v>1</v>
      </c>
      <c r="F27" s="170">
        <v>1</v>
      </c>
      <c r="G27" s="170">
        <v>0</v>
      </c>
      <c r="H27" s="170">
        <v>0</v>
      </c>
      <c r="I27" s="170">
        <v>1</v>
      </c>
      <c r="J27" s="170">
        <v>2</v>
      </c>
      <c r="K27" s="170">
        <v>5</v>
      </c>
      <c r="L27" s="86"/>
    </row>
    <row r="28" spans="1:12" s="14" customFormat="1" ht="17.25" x14ac:dyDescent="0.3">
      <c r="A28" s="83" t="s">
        <v>231</v>
      </c>
      <c r="B28" s="84" t="s">
        <v>226</v>
      </c>
      <c r="C28" s="84" t="s">
        <v>79</v>
      </c>
      <c r="D28" s="84"/>
      <c r="E28" s="98">
        <v>1</v>
      </c>
      <c r="F28" s="98">
        <v>1</v>
      </c>
      <c r="G28" s="98">
        <v>0</v>
      </c>
      <c r="H28" s="98">
        <v>0</v>
      </c>
      <c r="I28" s="98">
        <v>0</v>
      </c>
      <c r="J28" s="98">
        <v>2</v>
      </c>
      <c r="K28" s="98">
        <v>4</v>
      </c>
      <c r="L28" s="84"/>
    </row>
    <row r="29" spans="1:12" s="14" customFormat="1" ht="17.25" x14ac:dyDescent="0.3">
      <c r="A29" s="106" t="s">
        <v>231</v>
      </c>
      <c r="B29" s="107" t="s">
        <v>215</v>
      </c>
      <c r="C29" s="107" t="s">
        <v>75</v>
      </c>
      <c r="D29" s="107"/>
      <c r="E29" s="132">
        <v>1</v>
      </c>
      <c r="F29" s="128">
        <v>0</v>
      </c>
      <c r="G29" s="128">
        <v>0</v>
      </c>
      <c r="H29" s="128">
        <v>0</v>
      </c>
      <c r="I29" s="128">
        <v>0</v>
      </c>
      <c r="J29" s="128">
        <v>0</v>
      </c>
      <c r="K29" s="129">
        <f>SUM(E29:J29)</f>
        <v>1</v>
      </c>
      <c r="L29" s="107"/>
    </row>
    <row r="30" spans="1:12" x14ac:dyDescent="0.3">
      <c r="A30" s="118" t="s">
        <v>231</v>
      </c>
      <c r="B30" s="118" t="s">
        <v>177</v>
      </c>
      <c r="C30" s="118" t="s">
        <v>69</v>
      </c>
      <c r="D30" s="119"/>
      <c r="E30" s="139">
        <v>2</v>
      </c>
      <c r="F30" s="139">
        <v>4</v>
      </c>
      <c r="G30" s="139">
        <v>1</v>
      </c>
      <c r="H30" s="139">
        <v>0</v>
      </c>
      <c r="I30" s="139">
        <v>1</v>
      </c>
      <c r="J30" s="139">
        <v>0</v>
      </c>
      <c r="K30" s="137">
        <v>8</v>
      </c>
      <c r="L30" s="118"/>
    </row>
    <row r="31" spans="1:12" x14ac:dyDescent="0.3">
      <c r="A31" s="149" t="s">
        <v>233</v>
      </c>
      <c r="B31" s="149"/>
      <c r="C31" s="149"/>
      <c r="D31" s="149"/>
      <c r="E31" s="150">
        <f>SUM(E26:E30)</f>
        <v>6</v>
      </c>
      <c r="F31" s="150">
        <f>SUM(F26:F30)</f>
        <v>7</v>
      </c>
      <c r="G31" s="150">
        <f>SUM(G26:G30)</f>
        <v>1</v>
      </c>
      <c r="H31" s="150">
        <f>SUM(H26:H30)</f>
        <v>0</v>
      </c>
      <c r="I31" s="150">
        <f>SUM(I26:I30)</f>
        <v>3</v>
      </c>
      <c r="J31" s="150">
        <f>SUM(J26:J30)</f>
        <v>4</v>
      </c>
      <c r="K31" s="148">
        <f>SUM(K26:K30)</f>
        <v>21</v>
      </c>
      <c r="L31" s="117"/>
    </row>
    <row r="32" spans="1:12" s="14" customFormat="1" x14ac:dyDescent="0.25">
      <c r="A32" s="151" t="s">
        <v>26</v>
      </c>
      <c r="B32" s="151"/>
      <c r="C32" s="151"/>
      <c r="D32" s="151"/>
      <c r="E32" s="152">
        <f>IF($K$31=0,0,E31/$K$31)</f>
        <v>0.2857142857142857</v>
      </c>
      <c r="F32" s="152">
        <f>IF($K$31=0,0,F31/$K$31)</f>
        <v>0.33333333333333331</v>
      </c>
      <c r="G32" s="152">
        <f>IF($K$31=0,0,G31/$K$31)</f>
        <v>4.7619047619047616E-2</v>
      </c>
      <c r="H32" s="152">
        <f>IF($K$31=0,0,H31/$K$31)</f>
        <v>0</v>
      </c>
      <c r="I32" s="152">
        <f>IF($K$31=0,0,I31/$K$31)</f>
        <v>0.14285714285714285</v>
      </c>
      <c r="J32" s="152">
        <f>IF($K$31=0,0,J31/$K$31)</f>
        <v>0.19047619047619047</v>
      </c>
      <c r="K32" s="153">
        <f>IF($K$31=0,0,K31/$K$31)</f>
        <v>1</v>
      </c>
      <c r="L32" s="38"/>
    </row>
    <row r="33" spans="1:12" s="14" customFormat="1" x14ac:dyDescent="0.25">
      <c r="A33" s="38" t="s">
        <v>234</v>
      </c>
      <c r="B33" s="38" t="s">
        <v>235</v>
      </c>
      <c r="C33" s="38" t="s">
        <v>228</v>
      </c>
      <c r="D33" s="38" t="s">
        <v>236</v>
      </c>
      <c r="E33" s="170">
        <v>0</v>
      </c>
      <c r="F33" s="170">
        <v>2</v>
      </c>
      <c r="G33" s="170">
        <v>0</v>
      </c>
      <c r="H33" s="170">
        <v>0</v>
      </c>
      <c r="I33" s="170">
        <v>0</v>
      </c>
      <c r="J33" s="170">
        <v>2</v>
      </c>
      <c r="K33" s="170">
        <v>0</v>
      </c>
      <c r="L33" s="38" t="s">
        <v>237</v>
      </c>
    </row>
    <row r="34" spans="1:12" s="14" customFormat="1" ht="17.25" x14ac:dyDescent="0.3">
      <c r="A34" s="83" t="s">
        <v>234</v>
      </c>
      <c r="B34" s="84" t="s">
        <v>238</v>
      </c>
      <c r="C34" s="84" t="s">
        <v>41</v>
      </c>
      <c r="D34" s="84"/>
      <c r="E34" s="98">
        <v>1</v>
      </c>
      <c r="F34" s="98">
        <v>1</v>
      </c>
      <c r="G34" s="98">
        <v>0</v>
      </c>
      <c r="H34" s="98">
        <v>0</v>
      </c>
      <c r="I34" s="98">
        <v>0</v>
      </c>
      <c r="J34" s="98">
        <v>0</v>
      </c>
      <c r="K34" s="98">
        <v>2</v>
      </c>
      <c r="L34" s="84"/>
    </row>
    <row r="35" spans="1:12" x14ac:dyDescent="0.3">
      <c r="A35" s="106" t="s">
        <v>234</v>
      </c>
      <c r="B35" s="108" t="s">
        <v>239</v>
      </c>
      <c r="C35" s="108" t="s">
        <v>77</v>
      </c>
      <c r="D35" s="108"/>
      <c r="E35" s="98">
        <v>1</v>
      </c>
      <c r="F35" s="98">
        <v>1</v>
      </c>
      <c r="G35" s="98"/>
      <c r="H35" s="98"/>
      <c r="I35" s="98"/>
      <c r="J35" s="98">
        <v>2</v>
      </c>
      <c r="K35" s="98">
        <v>4</v>
      </c>
      <c r="L35" s="108"/>
    </row>
    <row r="36" spans="1:12" x14ac:dyDescent="0.3">
      <c r="A36" s="113" t="s">
        <v>234</v>
      </c>
      <c r="B36" s="113" t="s">
        <v>224</v>
      </c>
      <c r="C36" s="113" t="s">
        <v>35</v>
      </c>
      <c r="D36" s="113"/>
      <c r="E36" s="135">
        <v>1</v>
      </c>
      <c r="F36" s="135">
        <v>2</v>
      </c>
      <c r="G36" s="135">
        <v>0</v>
      </c>
      <c r="H36" s="135">
        <v>0</v>
      </c>
      <c r="I36" s="135">
        <v>0</v>
      </c>
      <c r="J36" s="135">
        <v>0</v>
      </c>
      <c r="K36" s="137">
        <f>SUM(E36:J36)</f>
        <v>3</v>
      </c>
      <c r="L36" s="116"/>
    </row>
    <row r="37" spans="1:12" x14ac:dyDescent="0.3">
      <c r="A37" s="149" t="s">
        <v>240</v>
      </c>
      <c r="B37" s="149"/>
      <c r="C37" s="149"/>
      <c r="D37" s="149"/>
      <c r="E37" s="150">
        <f>SUM(E34:E36)</f>
        <v>3</v>
      </c>
      <c r="F37" s="150">
        <f>SUM(F34:F36)</f>
        <v>4</v>
      </c>
      <c r="G37" s="150">
        <f>SUM(G34:G36)</f>
        <v>0</v>
      </c>
      <c r="H37" s="150">
        <f>SUM(H34:H36)</f>
        <v>0</v>
      </c>
      <c r="I37" s="150">
        <f>SUM(I34:I36)</f>
        <v>0</v>
      </c>
      <c r="J37" s="150">
        <f>SUM(J34:J36)</f>
        <v>2</v>
      </c>
      <c r="K37" s="148">
        <f>SUM(K34:K36)</f>
        <v>9</v>
      </c>
      <c r="L37" s="117"/>
    </row>
    <row r="38" spans="1:12" x14ac:dyDescent="0.3">
      <c r="A38" s="154" t="s">
        <v>26</v>
      </c>
      <c r="B38" s="154"/>
      <c r="C38" s="154"/>
      <c r="D38" s="154"/>
      <c r="E38" s="155">
        <f>IF($K$37=0,0,E37/$K$37)</f>
        <v>0.33333333333333331</v>
      </c>
      <c r="F38" s="155">
        <f>IF($K$37=0,0,F37/$K$37)</f>
        <v>0.44444444444444442</v>
      </c>
      <c r="G38" s="155">
        <f>IF($K$37=0,0,G37/$K$37)</f>
        <v>0</v>
      </c>
      <c r="H38" s="155">
        <f>IF($K$37=0,0,H37/$K$37)</f>
        <v>0</v>
      </c>
      <c r="I38" s="155">
        <f>IF($K$37=0,0,I37/$K$37)</f>
        <v>0</v>
      </c>
      <c r="J38" s="155">
        <f>IF($K$37=0,0,J37/$K$37)</f>
        <v>0.22222222222222221</v>
      </c>
      <c r="K38" s="102">
        <f>IF($K$37=0,0,K37/$K$37)</f>
        <v>1</v>
      </c>
      <c r="L38" s="82"/>
    </row>
    <row r="39" spans="1:12" x14ac:dyDescent="0.3">
      <c r="A39" s="43" t="s">
        <v>241</v>
      </c>
      <c r="B39" s="43" t="s">
        <v>242</v>
      </c>
      <c r="C39" s="43" t="s">
        <v>71</v>
      </c>
      <c r="D39" s="88"/>
      <c r="E39" s="103">
        <v>1</v>
      </c>
      <c r="F39" s="103">
        <v>1</v>
      </c>
      <c r="G39" s="103">
        <v>0</v>
      </c>
      <c r="H39" s="103">
        <v>0</v>
      </c>
      <c r="I39" s="103">
        <v>0</v>
      </c>
      <c r="J39" s="103">
        <v>0</v>
      </c>
      <c r="K39" s="104">
        <v>2</v>
      </c>
      <c r="L39" s="82"/>
    </row>
    <row r="40" spans="1:12" x14ac:dyDescent="0.3">
      <c r="A40" s="43" t="s">
        <v>241</v>
      </c>
      <c r="B40" s="43" t="s">
        <v>243</v>
      </c>
      <c r="C40" s="43" t="s">
        <v>53</v>
      </c>
      <c r="D40" s="43"/>
      <c r="E40" s="103">
        <v>1</v>
      </c>
      <c r="F40" s="103">
        <v>1</v>
      </c>
      <c r="G40" s="103">
        <v>0</v>
      </c>
      <c r="H40" s="103">
        <v>0</v>
      </c>
      <c r="I40" s="103">
        <v>0</v>
      </c>
      <c r="J40" s="103">
        <v>0</v>
      </c>
      <c r="K40" s="104">
        <v>2</v>
      </c>
      <c r="L40" s="82"/>
    </row>
    <row r="41" spans="1:12" x14ac:dyDescent="0.3">
      <c r="A41" s="43" t="s">
        <v>241</v>
      </c>
      <c r="B41" s="43" t="s">
        <v>244</v>
      </c>
      <c r="C41" s="43" t="s">
        <v>66</v>
      </c>
      <c r="D41" s="43"/>
      <c r="E41" s="103">
        <v>1</v>
      </c>
      <c r="F41" s="103">
        <v>1</v>
      </c>
      <c r="G41" s="103">
        <v>0</v>
      </c>
      <c r="H41" s="103">
        <v>0</v>
      </c>
      <c r="I41" s="103">
        <v>2</v>
      </c>
      <c r="J41" s="103">
        <v>0</v>
      </c>
      <c r="K41" s="104">
        <v>4</v>
      </c>
      <c r="L41" s="82"/>
    </row>
    <row r="42" spans="1:12" x14ac:dyDescent="0.3">
      <c r="A42" s="43" t="s">
        <v>241</v>
      </c>
      <c r="B42" s="43" t="s">
        <v>245</v>
      </c>
      <c r="C42" s="43" t="s">
        <v>70</v>
      </c>
      <c r="D42" s="43"/>
      <c r="E42" s="103">
        <v>0</v>
      </c>
      <c r="F42" s="103">
        <v>2</v>
      </c>
      <c r="G42" s="103">
        <v>0</v>
      </c>
      <c r="H42" s="103">
        <v>0</v>
      </c>
      <c r="I42" s="103">
        <v>1</v>
      </c>
      <c r="J42" s="103">
        <v>0</v>
      </c>
      <c r="K42" s="104">
        <v>3</v>
      </c>
      <c r="L42" s="82"/>
    </row>
    <row r="43" spans="1:12" x14ac:dyDescent="0.25">
      <c r="A43" s="38" t="s">
        <v>241</v>
      </c>
      <c r="B43" s="38" t="s">
        <v>246</v>
      </c>
      <c r="C43" s="38" t="s">
        <v>49</v>
      </c>
      <c r="D43" s="38"/>
      <c r="E43" s="170">
        <v>1</v>
      </c>
      <c r="F43" s="170">
        <v>2</v>
      </c>
      <c r="G43" s="170">
        <v>0</v>
      </c>
      <c r="H43" s="170">
        <v>0</v>
      </c>
      <c r="I43" s="170">
        <v>2</v>
      </c>
      <c r="J43" s="170">
        <v>0</v>
      </c>
      <c r="K43" s="170">
        <v>5</v>
      </c>
      <c r="L43" s="38"/>
    </row>
    <row r="44" spans="1:12" s="14" customFormat="1" x14ac:dyDescent="0.25">
      <c r="A44" s="38" t="s">
        <v>241</v>
      </c>
      <c r="B44" s="38" t="s">
        <v>188</v>
      </c>
      <c r="C44" s="38" t="s">
        <v>73</v>
      </c>
      <c r="D44" s="38"/>
      <c r="E44" s="170">
        <v>1</v>
      </c>
      <c r="F44" s="170">
        <v>1</v>
      </c>
      <c r="G44" s="170">
        <v>0</v>
      </c>
      <c r="H44" s="170">
        <v>0</v>
      </c>
      <c r="I44" s="170">
        <v>0</v>
      </c>
      <c r="J44" s="170">
        <v>0</v>
      </c>
      <c r="K44" s="170">
        <v>2</v>
      </c>
      <c r="L44" s="38"/>
    </row>
    <row r="45" spans="1:12" s="14" customFormat="1" ht="17.25" x14ac:dyDescent="0.3">
      <c r="A45" s="83" t="s">
        <v>241</v>
      </c>
      <c r="B45" s="84" t="s">
        <v>247</v>
      </c>
      <c r="C45" s="84" t="s">
        <v>64</v>
      </c>
      <c r="D45" s="84"/>
      <c r="E45" s="98">
        <v>1</v>
      </c>
      <c r="F45" s="98">
        <v>1</v>
      </c>
      <c r="G45" s="98">
        <v>0</v>
      </c>
      <c r="H45" s="98">
        <v>0</v>
      </c>
      <c r="I45" s="98">
        <v>0</v>
      </c>
      <c r="J45" s="98">
        <v>2</v>
      </c>
      <c r="K45" s="98">
        <v>4</v>
      </c>
      <c r="L45" s="84"/>
    </row>
    <row r="46" spans="1:12" ht="17.25" x14ac:dyDescent="0.3">
      <c r="A46" s="43" t="s">
        <v>241</v>
      </c>
      <c r="B46" s="38" t="s">
        <v>222</v>
      </c>
      <c r="C46" s="38" t="s">
        <v>78</v>
      </c>
      <c r="D46" s="38"/>
      <c r="E46" s="99">
        <v>1</v>
      </c>
      <c r="F46" s="99">
        <v>2</v>
      </c>
      <c r="G46" s="99">
        <v>1</v>
      </c>
      <c r="H46" s="99">
        <v>0</v>
      </c>
      <c r="I46" s="99">
        <v>0</v>
      </c>
      <c r="J46" s="99">
        <v>0</v>
      </c>
      <c r="K46" s="100">
        <v>4</v>
      </c>
      <c r="L46" s="38"/>
    </row>
    <row r="47" spans="1:12" x14ac:dyDescent="0.3">
      <c r="A47" s="106" t="s">
        <v>241</v>
      </c>
      <c r="B47" s="106" t="s">
        <v>219</v>
      </c>
      <c r="C47" s="106" t="s">
        <v>80</v>
      </c>
      <c r="D47" s="106"/>
      <c r="E47" s="98">
        <v>1</v>
      </c>
      <c r="F47" s="98">
        <v>2</v>
      </c>
      <c r="G47" s="98">
        <v>0</v>
      </c>
      <c r="H47" s="98">
        <v>0</v>
      </c>
      <c r="I47" s="98">
        <v>1</v>
      </c>
      <c r="J47" s="98">
        <v>0</v>
      </c>
      <c r="K47" s="130">
        <v>4</v>
      </c>
      <c r="L47" s="109"/>
    </row>
    <row r="48" spans="1:12" s="14" customFormat="1" ht="29.25" x14ac:dyDescent="0.3">
      <c r="A48" s="113" t="s">
        <v>241</v>
      </c>
      <c r="B48" s="113" t="s">
        <v>139</v>
      </c>
      <c r="C48" s="113" t="s">
        <v>137</v>
      </c>
      <c r="D48" s="119"/>
      <c r="E48" s="135">
        <v>1</v>
      </c>
      <c r="F48" s="135">
        <v>1</v>
      </c>
      <c r="G48" s="135">
        <v>0</v>
      </c>
      <c r="H48" s="135">
        <v>1</v>
      </c>
      <c r="I48" s="135">
        <v>0</v>
      </c>
      <c r="J48" s="135">
        <v>0</v>
      </c>
      <c r="K48" s="137">
        <f>SUM(E48:J48)</f>
        <v>3</v>
      </c>
      <c r="L48" s="116" t="s">
        <v>248</v>
      </c>
    </row>
    <row r="49" spans="1:12" x14ac:dyDescent="0.3">
      <c r="A49" s="149" t="s">
        <v>249</v>
      </c>
      <c r="B49" s="149"/>
      <c r="C49" s="149"/>
      <c r="D49" s="156"/>
      <c r="E49" s="150">
        <f>SUM(E39:E48)</f>
        <v>9</v>
      </c>
      <c r="F49" s="150">
        <f>SUM(F39:F48)</f>
        <v>14</v>
      </c>
      <c r="G49" s="150">
        <f>SUM(G39:G48)</f>
        <v>1</v>
      </c>
      <c r="H49" s="150">
        <f>SUM(H39:H48)</f>
        <v>1</v>
      </c>
      <c r="I49" s="150">
        <f>SUM(I39:I48)</f>
        <v>6</v>
      </c>
      <c r="J49" s="150">
        <f>SUM(J39:J48)</f>
        <v>2</v>
      </c>
      <c r="K49" s="148">
        <f>SUM(K39:K48)</f>
        <v>33</v>
      </c>
      <c r="L49" s="117"/>
    </row>
    <row r="50" spans="1:12" x14ac:dyDescent="0.3">
      <c r="A50" s="154" t="s">
        <v>26</v>
      </c>
      <c r="B50" s="154"/>
      <c r="C50" s="154"/>
      <c r="D50" s="157"/>
      <c r="E50" s="155">
        <f>IF($K$49=0,0,E49/$K$49)</f>
        <v>0.27272727272727271</v>
      </c>
      <c r="F50" s="155">
        <f>IF($K$49=0,0,F49/$K$49)</f>
        <v>0.42424242424242425</v>
      </c>
      <c r="G50" s="155">
        <f>IF($K$49=0,0,G49/$K$49)</f>
        <v>3.0303030303030304E-2</v>
      </c>
      <c r="H50" s="155">
        <f>IF($K$49=0,0,H49/$K$49)</f>
        <v>3.0303030303030304E-2</v>
      </c>
      <c r="I50" s="155">
        <f>IF($K$49=0,0,I49/$K$49)</f>
        <v>0.18181818181818182</v>
      </c>
      <c r="J50" s="155">
        <f>IF($K$49=0,0,J49/$K$49)</f>
        <v>6.0606060606060608E-2</v>
      </c>
      <c r="K50" s="102">
        <f>IF($K$49=0,0,K49/$K$49)</f>
        <v>1</v>
      </c>
      <c r="L50" s="82"/>
    </row>
    <row r="51" spans="1:12" x14ac:dyDescent="0.3">
      <c r="A51" s="43" t="s">
        <v>250</v>
      </c>
      <c r="B51" s="43" t="s">
        <v>251</v>
      </c>
      <c r="C51" s="43" t="s">
        <v>62</v>
      </c>
      <c r="D51" s="43"/>
      <c r="E51" s="103">
        <v>2</v>
      </c>
      <c r="F51" s="103">
        <v>3</v>
      </c>
      <c r="G51" s="103">
        <v>1</v>
      </c>
      <c r="H51" s="103">
        <v>0</v>
      </c>
      <c r="I51" s="103">
        <v>1</v>
      </c>
      <c r="J51" s="103">
        <v>0</v>
      </c>
      <c r="K51" s="104">
        <v>7</v>
      </c>
      <c r="L51" s="82"/>
    </row>
    <row r="52" spans="1:12" x14ac:dyDescent="0.3">
      <c r="A52" s="43" t="s">
        <v>250</v>
      </c>
      <c r="B52" s="43" t="s">
        <v>252</v>
      </c>
      <c r="C52" s="43" t="s">
        <v>62</v>
      </c>
      <c r="D52" s="43"/>
      <c r="E52" s="103">
        <v>2</v>
      </c>
      <c r="F52" s="103">
        <v>3</v>
      </c>
      <c r="G52" s="103">
        <v>0</v>
      </c>
      <c r="H52" s="103">
        <v>0</v>
      </c>
      <c r="I52" s="103">
        <v>1</v>
      </c>
      <c r="J52" s="103">
        <v>0</v>
      </c>
      <c r="K52" s="104">
        <v>6</v>
      </c>
      <c r="L52" s="82"/>
    </row>
    <row r="53" spans="1:12" x14ac:dyDescent="0.3">
      <c r="A53" s="43" t="s">
        <v>250</v>
      </c>
      <c r="B53" s="43" t="s">
        <v>252</v>
      </c>
      <c r="C53" s="43" t="s">
        <v>61</v>
      </c>
      <c r="D53" s="43"/>
      <c r="E53" s="103">
        <v>1</v>
      </c>
      <c r="F53" s="103">
        <v>1</v>
      </c>
      <c r="G53" s="103">
        <v>0</v>
      </c>
      <c r="H53" s="103">
        <v>0</v>
      </c>
      <c r="I53" s="103">
        <v>0</v>
      </c>
      <c r="J53" s="103">
        <v>0</v>
      </c>
      <c r="K53" s="104">
        <v>2</v>
      </c>
      <c r="L53" s="82"/>
    </row>
    <row r="54" spans="1:12" x14ac:dyDescent="0.3">
      <c r="A54" s="43" t="s">
        <v>250</v>
      </c>
      <c r="B54" s="43" t="s">
        <v>253</v>
      </c>
      <c r="C54" s="43" t="s">
        <v>49</v>
      </c>
      <c r="D54" s="43"/>
      <c r="E54" s="103">
        <v>1</v>
      </c>
      <c r="F54" s="103">
        <v>1</v>
      </c>
      <c r="G54" s="103">
        <v>0</v>
      </c>
      <c r="H54" s="103">
        <v>0</v>
      </c>
      <c r="I54" s="103">
        <v>0</v>
      </c>
      <c r="J54" s="103">
        <v>0</v>
      </c>
      <c r="K54" s="104">
        <v>2</v>
      </c>
      <c r="L54" s="82"/>
    </row>
    <row r="55" spans="1:12" s="14" customFormat="1" ht="17.25" x14ac:dyDescent="0.3">
      <c r="A55" s="43" t="s">
        <v>250</v>
      </c>
      <c r="B55" s="43" t="s">
        <v>254</v>
      </c>
      <c r="C55" s="43" t="s">
        <v>60</v>
      </c>
      <c r="D55" s="43"/>
      <c r="E55" s="103">
        <v>1</v>
      </c>
      <c r="F55" s="103">
        <v>2</v>
      </c>
      <c r="G55" s="103">
        <v>1</v>
      </c>
      <c r="H55" s="103">
        <v>1</v>
      </c>
      <c r="I55" s="103">
        <v>1</v>
      </c>
      <c r="J55" s="103">
        <v>0</v>
      </c>
      <c r="K55" s="104">
        <v>6</v>
      </c>
      <c r="L55" s="38"/>
    </row>
    <row r="56" spans="1:12" s="14" customFormat="1" x14ac:dyDescent="0.25">
      <c r="A56" s="89" t="s">
        <v>250</v>
      </c>
      <c r="B56" s="89" t="s">
        <v>255</v>
      </c>
      <c r="C56" s="89" t="s">
        <v>31</v>
      </c>
      <c r="D56" s="70"/>
      <c r="E56" s="171">
        <v>1</v>
      </c>
      <c r="F56" s="171">
        <v>3</v>
      </c>
      <c r="G56" s="171">
        <v>0</v>
      </c>
      <c r="H56" s="171">
        <v>0</v>
      </c>
      <c r="I56" s="171">
        <v>1</v>
      </c>
      <c r="J56" s="171">
        <v>0</v>
      </c>
      <c r="K56" s="171">
        <v>5</v>
      </c>
      <c r="L56" s="70"/>
    </row>
    <row r="57" spans="1:12" s="14" customFormat="1" ht="17.25" x14ac:dyDescent="0.3">
      <c r="A57" s="83" t="s">
        <v>250</v>
      </c>
      <c r="B57" s="84" t="s">
        <v>256</v>
      </c>
      <c r="C57" s="84" t="s">
        <v>67</v>
      </c>
      <c r="D57" s="84"/>
      <c r="E57" s="98">
        <v>1</v>
      </c>
      <c r="F57" s="98">
        <v>0</v>
      </c>
      <c r="G57" s="98">
        <v>0</v>
      </c>
      <c r="H57" s="98">
        <v>0</v>
      </c>
      <c r="I57" s="98">
        <v>0</v>
      </c>
      <c r="J57" s="98">
        <v>0</v>
      </c>
      <c r="K57" s="98">
        <v>1</v>
      </c>
      <c r="L57" s="84"/>
    </row>
    <row r="58" spans="1:12" ht="17.25" x14ac:dyDescent="0.3">
      <c r="A58" s="43" t="s">
        <v>250</v>
      </c>
      <c r="B58" s="38" t="s">
        <v>257</v>
      </c>
      <c r="C58" s="38" t="s">
        <v>60</v>
      </c>
      <c r="D58" s="38"/>
      <c r="E58" s="99">
        <v>1</v>
      </c>
      <c r="F58" s="99">
        <v>2</v>
      </c>
      <c r="G58" s="99">
        <v>0</v>
      </c>
      <c r="H58" s="99">
        <v>0</v>
      </c>
      <c r="I58" s="99">
        <v>1</v>
      </c>
      <c r="J58" s="99">
        <v>0</v>
      </c>
      <c r="K58" s="100">
        <v>4</v>
      </c>
      <c r="L58" s="38"/>
    </row>
    <row r="59" spans="1:12" s="14" customFormat="1" ht="17.25" x14ac:dyDescent="0.3">
      <c r="A59" s="106" t="s">
        <v>250</v>
      </c>
      <c r="B59" s="106" t="s">
        <v>258</v>
      </c>
      <c r="C59" s="106" t="s">
        <v>29</v>
      </c>
      <c r="D59" s="106"/>
      <c r="E59" s="98">
        <v>1</v>
      </c>
      <c r="F59" s="98">
        <v>2</v>
      </c>
      <c r="G59" s="98">
        <v>0</v>
      </c>
      <c r="H59" s="98">
        <v>0</v>
      </c>
      <c r="I59" s="98">
        <v>1</v>
      </c>
      <c r="J59" s="98">
        <v>0</v>
      </c>
      <c r="K59" s="130">
        <v>4</v>
      </c>
      <c r="L59" s="109"/>
    </row>
    <row r="60" spans="1:12" s="14" customFormat="1" ht="17.25" x14ac:dyDescent="0.3">
      <c r="A60" s="113" t="s">
        <v>250</v>
      </c>
      <c r="B60" s="113" t="s">
        <v>259</v>
      </c>
      <c r="C60" s="113" t="s">
        <v>81</v>
      </c>
      <c r="D60" s="113"/>
      <c r="E60" s="135">
        <v>1</v>
      </c>
      <c r="F60" s="135">
        <v>0</v>
      </c>
      <c r="G60" s="135">
        <v>0</v>
      </c>
      <c r="H60" s="135">
        <v>0</v>
      </c>
      <c r="I60" s="135">
        <v>0</v>
      </c>
      <c r="J60" s="135">
        <v>0</v>
      </c>
      <c r="K60" s="137">
        <f>SUM(E60:J60)</f>
        <v>1</v>
      </c>
      <c r="L60" s="116"/>
    </row>
    <row r="61" spans="1:12" s="14" customFormat="1" ht="17.25" x14ac:dyDescent="0.3">
      <c r="A61" s="149" t="s">
        <v>260</v>
      </c>
      <c r="B61" s="149"/>
      <c r="C61" s="149"/>
      <c r="D61" s="149"/>
      <c r="E61" s="150">
        <f>SUM(E51:E60)</f>
        <v>12</v>
      </c>
      <c r="F61" s="150">
        <f>SUM(F51:F60)</f>
        <v>17</v>
      </c>
      <c r="G61" s="150">
        <f>SUM(G51:G60)</f>
        <v>2</v>
      </c>
      <c r="H61" s="150">
        <f>SUM(H51:H60)</f>
        <v>1</v>
      </c>
      <c r="I61" s="150">
        <f>SUM(I51:I60)</f>
        <v>6</v>
      </c>
      <c r="J61" s="150">
        <f>SUM(J51:J60)</f>
        <v>0</v>
      </c>
      <c r="K61" s="148">
        <f>SUM(K51:K60)</f>
        <v>38</v>
      </c>
      <c r="L61" s="117"/>
    </row>
    <row r="62" spans="1:12" x14ac:dyDescent="0.3">
      <c r="A62" s="158" t="s">
        <v>26</v>
      </c>
      <c r="B62" s="158"/>
      <c r="C62" s="158"/>
      <c r="D62" s="157"/>
      <c r="E62" s="159">
        <f>IF($K$61=0,0,E61/$K$61)</f>
        <v>0.31578947368421051</v>
      </c>
      <c r="F62" s="159">
        <f>IF($K$61=0,0,F61/$K$61)</f>
        <v>0.44736842105263158</v>
      </c>
      <c r="G62" s="159">
        <f>IF($K$61=0,0,G61/$K$61)</f>
        <v>5.2631578947368418E-2</v>
      </c>
      <c r="H62" s="159">
        <f>IF($K$61=0,0,H61/$K$61)</f>
        <v>2.6315789473684209E-2</v>
      </c>
      <c r="I62" s="159">
        <f>IF($K$61=0,0,I61/$K$61)</f>
        <v>0.15789473684210525</v>
      </c>
      <c r="J62" s="159">
        <f>IF($K$61=0,0,J61/$K$61)</f>
        <v>0</v>
      </c>
      <c r="K62" s="102">
        <f>IF($K$61=0,0,K61/$K$61)</f>
        <v>1</v>
      </c>
      <c r="L62" s="87"/>
    </row>
    <row r="63" spans="1:12" x14ac:dyDescent="0.3">
      <c r="A63" s="43" t="s">
        <v>261</v>
      </c>
      <c r="B63" s="43" t="s">
        <v>262</v>
      </c>
      <c r="C63" s="43" t="s">
        <v>64</v>
      </c>
      <c r="D63" s="88"/>
      <c r="E63" s="103">
        <v>1</v>
      </c>
      <c r="F63" s="103">
        <v>2</v>
      </c>
      <c r="G63" s="103">
        <v>0</v>
      </c>
      <c r="H63" s="103">
        <v>0</v>
      </c>
      <c r="I63" s="103">
        <v>1</v>
      </c>
      <c r="J63" s="103">
        <v>0</v>
      </c>
      <c r="K63" s="104">
        <v>4</v>
      </c>
      <c r="L63" s="82"/>
    </row>
    <row r="64" spans="1:12" x14ac:dyDescent="0.3">
      <c r="A64" s="43" t="s">
        <v>261</v>
      </c>
      <c r="B64" s="43" t="s">
        <v>263</v>
      </c>
      <c r="C64" s="43" t="s">
        <v>60</v>
      </c>
      <c r="D64" s="43"/>
      <c r="E64" s="103">
        <v>2</v>
      </c>
      <c r="F64" s="103">
        <v>1</v>
      </c>
      <c r="G64" s="103">
        <v>0</v>
      </c>
      <c r="H64" s="103">
        <v>1</v>
      </c>
      <c r="I64" s="103">
        <v>0</v>
      </c>
      <c r="J64" s="103">
        <v>0</v>
      </c>
      <c r="K64" s="104">
        <v>4</v>
      </c>
      <c r="L64" s="82"/>
    </row>
    <row r="65" spans="1:12" s="14" customFormat="1" ht="17.25" x14ac:dyDescent="0.3">
      <c r="A65" s="43" t="s">
        <v>261</v>
      </c>
      <c r="B65" s="43" t="s">
        <v>264</v>
      </c>
      <c r="C65" s="43" t="s">
        <v>61</v>
      </c>
      <c r="D65" s="43"/>
      <c r="E65" s="103">
        <v>1</v>
      </c>
      <c r="F65" s="103">
        <v>2</v>
      </c>
      <c r="G65" s="103">
        <v>0</v>
      </c>
      <c r="H65" s="103">
        <v>0</v>
      </c>
      <c r="I65" s="103">
        <v>1</v>
      </c>
      <c r="J65" s="103">
        <v>0</v>
      </c>
      <c r="K65" s="104">
        <v>4</v>
      </c>
      <c r="L65" s="38"/>
    </row>
    <row r="66" spans="1:12" s="14" customFormat="1" ht="17.25" x14ac:dyDescent="0.3">
      <c r="A66" s="43" t="s">
        <v>261</v>
      </c>
      <c r="B66" s="43" t="s">
        <v>265</v>
      </c>
      <c r="C66" s="43" t="s">
        <v>228</v>
      </c>
      <c r="D66" s="43" t="s">
        <v>236</v>
      </c>
      <c r="E66" s="103">
        <v>0</v>
      </c>
      <c r="F66" s="103">
        <v>3</v>
      </c>
      <c r="G66" s="103">
        <v>0</v>
      </c>
      <c r="H66" s="103">
        <v>1</v>
      </c>
      <c r="I66" s="103">
        <v>1</v>
      </c>
      <c r="J66" s="103">
        <v>0</v>
      </c>
      <c r="K66" s="104">
        <v>0</v>
      </c>
      <c r="L66" s="38" t="s">
        <v>237</v>
      </c>
    </row>
    <row r="67" spans="1:12" s="14" customFormat="1" ht="17.25" x14ac:dyDescent="0.3">
      <c r="A67" s="43" t="s">
        <v>261</v>
      </c>
      <c r="B67" s="43" t="s">
        <v>266</v>
      </c>
      <c r="C67" s="43" t="s">
        <v>67</v>
      </c>
      <c r="D67" s="43"/>
      <c r="E67" s="103">
        <v>0</v>
      </c>
      <c r="F67" s="103">
        <v>1</v>
      </c>
      <c r="G67" s="103">
        <v>0</v>
      </c>
      <c r="H67" s="103">
        <v>1</v>
      </c>
      <c r="I67" s="103">
        <v>0</v>
      </c>
      <c r="J67" s="103">
        <v>0</v>
      </c>
      <c r="K67" s="104">
        <v>2</v>
      </c>
      <c r="L67" s="38"/>
    </row>
    <row r="68" spans="1:12" s="14" customFormat="1" x14ac:dyDescent="0.25">
      <c r="A68" s="38" t="s">
        <v>261</v>
      </c>
      <c r="B68" s="38" t="s">
        <v>267</v>
      </c>
      <c r="C68" s="38" t="s">
        <v>72</v>
      </c>
      <c r="D68" s="38"/>
      <c r="E68" s="170">
        <v>0</v>
      </c>
      <c r="F68" s="170">
        <v>1</v>
      </c>
      <c r="G68" s="170">
        <v>0</v>
      </c>
      <c r="H68" s="170">
        <v>0</v>
      </c>
      <c r="I68" s="170">
        <v>0</v>
      </c>
      <c r="J68" s="170">
        <v>0</v>
      </c>
      <c r="K68" s="170">
        <v>1</v>
      </c>
      <c r="L68" s="38"/>
    </row>
    <row r="69" spans="1:12" s="14" customFormat="1" x14ac:dyDescent="0.25">
      <c r="A69" s="90" t="s">
        <v>261</v>
      </c>
      <c r="B69" s="90" t="s">
        <v>268</v>
      </c>
      <c r="C69" s="90" t="s">
        <v>37</v>
      </c>
      <c r="D69" s="90"/>
      <c r="E69" s="105">
        <v>2</v>
      </c>
      <c r="F69" s="105">
        <v>1</v>
      </c>
      <c r="G69" s="105">
        <v>0</v>
      </c>
      <c r="H69" s="105">
        <v>0</v>
      </c>
      <c r="I69" s="105">
        <v>0</v>
      </c>
      <c r="J69" s="105">
        <v>0</v>
      </c>
      <c r="K69" s="105">
        <v>3</v>
      </c>
      <c r="L69" s="90"/>
    </row>
    <row r="70" spans="1:12" s="14" customFormat="1" ht="17.25" x14ac:dyDescent="0.3">
      <c r="A70" s="69" t="s">
        <v>261</v>
      </c>
      <c r="B70" s="69" t="s">
        <v>269</v>
      </c>
      <c r="C70" s="69" t="s">
        <v>74</v>
      </c>
      <c r="D70" s="69"/>
      <c r="E70" s="172">
        <v>1</v>
      </c>
      <c r="F70" s="172">
        <v>2</v>
      </c>
      <c r="G70" s="172">
        <v>1</v>
      </c>
      <c r="H70" s="172">
        <v>0</v>
      </c>
      <c r="I70" s="172">
        <v>0</v>
      </c>
      <c r="J70" s="172">
        <v>0</v>
      </c>
      <c r="K70" s="172">
        <v>4</v>
      </c>
      <c r="L70" s="69"/>
    </row>
    <row r="71" spans="1:12" s="14" customFormat="1" ht="17.25" x14ac:dyDescent="0.3">
      <c r="A71" s="91" t="s">
        <v>261</v>
      </c>
      <c r="B71" s="91" t="s">
        <v>204</v>
      </c>
      <c r="C71" s="91" t="s">
        <v>64</v>
      </c>
      <c r="D71" s="91" t="s">
        <v>270</v>
      </c>
      <c r="E71" s="173">
        <v>1</v>
      </c>
      <c r="F71" s="173">
        <v>0</v>
      </c>
      <c r="G71" s="173">
        <v>0</v>
      </c>
      <c r="H71" s="173">
        <v>0</v>
      </c>
      <c r="I71" s="173">
        <v>1</v>
      </c>
      <c r="J71" s="173">
        <v>3</v>
      </c>
      <c r="K71" s="173">
        <v>5</v>
      </c>
      <c r="L71" s="92"/>
    </row>
    <row r="72" spans="1:12" x14ac:dyDescent="0.25">
      <c r="A72" s="93" t="s">
        <v>261</v>
      </c>
      <c r="B72" s="93" t="s">
        <v>213</v>
      </c>
      <c r="C72" s="93" t="s">
        <v>77</v>
      </c>
      <c r="D72" s="93"/>
      <c r="E72" s="101">
        <v>1</v>
      </c>
      <c r="F72" s="101">
        <v>1</v>
      </c>
      <c r="G72" s="101">
        <v>0</v>
      </c>
      <c r="H72" s="101">
        <v>0</v>
      </c>
      <c r="I72" s="101">
        <v>1</v>
      </c>
      <c r="J72" s="101">
        <v>0</v>
      </c>
      <c r="K72" s="101">
        <v>3</v>
      </c>
      <c r="L72" s="94"/>
    </row>
    <row r="73" spans="1:12" x14ac:dyDescent="0.25">
      <c r="A73" s="110" t="s">
        <v>261</v>
      </c>
      <c r="B73" s="110" t="s">
        <v>183</v>
      </c>
      <c r="C73" s="110" t="s">
        <v>23</v>
      </c>
      <c r="D73" s="110"/>
      <c r="E73" s="131">
        <v>0</v>
      </c>
      <c r="F73" s="131">
        <v>0</v>
      </c>
      <c r="G73" s="131">
        <v>0</v>
      </c>
      <c r="H73" s="131">
        <v>0</v>
      </c>
      <c r="I73" s="131">
        <v>1</v>
      </c>
      <c r="J73" s="131">
        <v>0</v>
      </c>
      <c r="K73" s="131">
        <v>1</v>
      </c>
      <c r="L73" s="111"/>
    </row>
    <row r="74" spans="1:12" s="14" customFormat="1" x14ac:dyDescent="0.25">
      <c r="A74" s="120" t="s">
        <v>261</v>
      </c>
      <c r="B74" s="120" t="s">
        <v>185</v>
      </c>
      <c r="C74" s="120" t="s">
        <v>82</v>
      </c>
      <c r="D74" s="120"/>
      <c r="E74" s="140">
        <v>0</v>
      </c>
      <c r="F74" s="140">
        <v>0</v>
      </c>
      <c r="G74" s="140">
        <v>0</v>
      </c>
      <c r="H74" s="140">
        <v>2</v>
      </c>
      <c r="I74" s="140">
        <v>1</v>
      </c>
      <c r="J74" s="140">
        <v>0</v>
      </c>
      <c r="K74" s="140">
        <f>SUM(E74:J74)</f>
        <v>3</v>
      </c>
      <c r="L74" s="121"/>
    </row>
    <row r="75" spans="1:12" s="14" customFormat="1" x14ac:dyDescent="0.25">
      <c r="A75" s="160" t="s">
        <v>271</v>
      </c>
      <c r="B75" s="160"/>
      <c r="C75" s="160"/>
      <c r="D75" s="160"/>
      <c r="E75" s="161">
        <f>SUM(E63:E65,E67:E74)</f>
        <v>9</v>
      </c>
      <c r="F75" s="161">
        <f>SUM(F63:F65,F67:F74)</f>
        <v>11</v>
      </c>
      <c r="G75" s="161">
        <f>SUM(G63:G65,G67:G74)</f>
        <v>1</v>
      </c>
      <c r="H75" s="161">
        <f>SUM(H63:H65,H67:H74)</f>
        <v>4</v>
      </c>
      <c r="I75" s="161">
        <f>SUM(I63:I65,I67:I74)</f>
        <v>6</v>
      </c>
      <c r="J75" s="161">
        <f>SUM(J63:J65,J67:J74)</f>
        <v>3</v>
      </c>
      <c r="K75" s="161">
        <f>SUM(K63:K65,K67:K74)</f>
        <v>34</v>
      </c>
      <c r="L75" s="122"/>
    </row>
    <row r="76" spans="1:12" s="14" customFormat="1" x14ac:dyDescent="0.25">
      <c r="A76" s="162" t="s">
        <v>26</v>
      </c>
      <c r="B76" s="162"/>
      <c r="C76" s="162"/>
      <c r="D76" s="162"/>
      <c r="E76" s="163">
        <f>IF($K$75=0,0,E75/$K$75)</f>
        <v>0.26470588235294118</v>
      </c>
      <c r="F76" s="163">
        <f>IF($K$75=0,0,F75/$K$75)</f>
        <v>0.3235294117647059</v>
      </c>
      <c r="G76" s="163">
        <f>IF($K$75=0,0,G75/$K$75)</f>
        <v>2.9411764705882353E-2</v>
      </c>
      <c r="H76" s="163">
        <f>IF($K$75=0,0,H75/$K$75)</f>
        <v>0.11764705882352941</v>
      </c>
      <c r="I76" s="163">
        <f>IF($K$75=0,0,I75/$K$75)</f>
        <v>0.17647058823529413</v>
      </c>
      <c r="J76" s="163">
        <f>IF($K$75=0,0,J75/$K$75)</f>
        <v>8.8235294117647065E-2</v>
      </c>
      <c r="K76" s="164">
        <f>IF($K$75=0,0,K75/$K$75)</f>
        <v>1</v>
      </c>
      <c r="L76" s="90"/>
    </row>
    <row r="77" spans="1:12" x14ac:dyDescent="0.3">
      <c r="A77" s="69" t="s">
        <v>272</v>
      </c>
      <c r="B77" s="69" t="s">
        <v>273</v>
      </c>
      <c r="C77" s="69" t="s">
        <v>63</v>
      </c>
      <c r="D77" s="69"/>
      <c r="E77" s="172">
        <v>1</v>
      </c>
      <c r="F77" s="172">
        <v>2</v>
      </c>
      <c r="G77" s="172">
        <v>0</v>
      </c>
      <c r="H77" s="172">
        <v>0</v>
      </c>
      <c r="I77" s="172">
        <v>2</v>
      </c>
      <c r="J77" s="172">
        <v>0</v>
      </c>
      <c r="K77" s="172">
        <v>5</v>
      </c>
      <c r="L77" s="69"/>
    </row>
    <row r="78" spans="1:12" x14ac:dyDescent="0.3">
      <c r="A78" s="91" t="s">
        <v>272</v>
      </c>
      <c r="B78" s="91" t="s">
        <v>274</v>
      </c>
      <c r="C78" s="91" t="s">
        <v>61</v>
      </c>
      <c r="D78" s="91"/>
      <c r="E78" s="173">
        <v>1</v>
      </c>
      <c r="F78" s="173">
        <v>2</v>
      </c>
      <c r="G78" s="173">
        <v>1</v>
      </c>
      <c r="H78" s="173">
        <v>0</v>
      </c>
      <c r="I78" s="173">
        <v>0</v>
      </c>
      <c r="J78" s="173">
        <v>0</v>
      </c>
      <c r="K78" s="173">
        <v>4</v>
      </c>
      <c r="L78" s="91"/>
    </row>
    <row r="79" spans="1:12" x14ac:dyDescent="0.25">
      <c r="A79" s="93" t="s">
        <v>272</v>
      </c>
      <c r="B79" s="93" t="s">
        <v>275</v>
      </c>
      <c r="C79" s="93" t="s">
        <v>65</v>
      </c>
      <c r="D79" s="93"/>
      <c r="E79" s="101">
        <v>1</v>
      </c>
      <c r="F79" s="101">
        <v>1</v>
      </c>
      <c r="G79" s="101">
        <v>0</v>
      </c>
      <c r="H79" s="101">
        <v>0</v>
      </c>
      <c r="I79" s="101">
        <v>2</v>
      </c>
      <c r="J79" s="101">
        <v>0</v>
      </c>
      <c r="K79" s="101">
        <v>4</v>
      </c>
      <c r="L79" s="93"/>
    </row>
    <row r="80" spans="1:12" x14ac:dyDescent="0.25">
      <c r="A80" s="112" t="s">
        <v>272</v>
      </c>
      <c r="B80" s="112" t="s">
        <v>276</v>
      </c>
      <c r="C80" s="112" t="s">
        <v>68</v>
      </c>
      <c r="D80" s="112"/>
      <c r="E80" s="133">
        <v>1</v>
      </c>
      <c r="F80" s="133">
        <v>1</v>
      </c>
      <c r="G80" s="133">
        <v>0</v>
      </c>
      <c r="H80" s="133">
        <v>0</v>
      </c>
      <c r="I80" s="133">
        <v>1</v>
      </c>
      <c r="J80" s="133">
        <v>0</v>
      </c>
      <c r="K80" s="133">
        <v>3</v>
      </c>
      <c r="L80" s="112"/>
    </row>
    <row r="81" spans="1:12" x14ac:dyDescent="0.25">
      <c r="A81" s="123" t="s">
        <v>272</v>
      </c>
      <c r="B81" s="123" t="s">
        <v>277</v>
      </c>
      <c r="C81" s="123" t="s">
        <v>75</v>
      </c>
      <c r="D81" s="123"/>
      <c r="E81" s="141">
        <v>1</v>
      </c>
      <c r="F81" s="141">
        <v>0</v>
      </c>
      <c r="G81" s="141">
        <v>0</v>
      </c>
      <c r="H81" s="141">
        <v>0</v>
      </c>
      <c r="I81" s="141">
        <v>0</v>
      </c>
      <c r="J81" s="141">
        <v>0</v>
      </c>
      <c r="K81" s="141">
        <f>SUM(E81:J81)</f>
        <v>1</v>
      </c>
      <c r="L81" s="123"/>
    </row>
    <row r="82" spans="1:12" x14ac:dyDescent="0.25">
      <c r="A82" s="165" t="s">
        <v>278</v>
      </c>
      <c r="B82" s="165"/>
      <c r="C82" s="165"/>
      <c r="D82" s="165"/>
      <c r="E82" s="166">
        <f>SUM(E77:E81)</f>
        <v>5</v>
      </c>
      <c r="F82" s="166">
        <f>SUM(F77:F81)</f>
        <v>6</v>
      </c>
      <c r="G82" s="166">
        <f>SUM(G77:G81)</f>
        <v>1</v>
      </c>
      <c r="H82" s="166">
        <f>SUM(H77:H81)</f>
        <v>0</v>
      </c>
      <c r="I82" s="166">
        <f>SUM(I77:I81)</f>
        <v>5</v>
      </c>
      <c r="J82" s="166">
        <f>SUM(J77:J81)</f>
        <v>0</v>
      </c>
      <c r="K82" s="166">
        <f>SUM(K77:K81)</f>
        <v>17</v>
      </c>
      <c r="L82" s="124"/>
    </row>
    <row r="83" spans="1:12" x14ac:dyDescent="0.25">
      <c r="A83" s="167" t="s">
        <v>26</v>
      </c>
      <c r="B83" s="167"/>
      <c r="C83" s="167"/>
      <c r="D83" s="167"/>
      <c r="E83" s="168">
        <f>IF($K$82=0,0,E82/$K$82)</f>
        <v>0.29411764705882354</v>
      </c>
      <c r="F83" s="168">
        <f>IF($K$82=0,0,F82/$K$82)</f>
        <v>0.35294117647058826</v>
      </c>
      <c r="G83" s="168">
        <f>IF($K$82=0,0,G82/$K$82)</f>
        <v>5.8823529411764705E-2</v>
      </c>
      <c r="H83" s="168">
        <f>IF($K$82=0,0,H82/$K$82)</f>
        <v>0</v>
      </c>
      <c r="I83" s="168">
        <f>IF($K$82=0,0,I82/$K$82)</f>
        <v>0.29411764705882354</v>
      </c>
      <c r="J83" s="168">
        <f>IF($K$82=0,0,J82/$K$82)</f>
        <v>0</v>
      </c>
      <c r="K83" s="169">
        <f>IF($K$82=0,0,K82/$K$82)</f>
        <v>1</v>
      </c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zoomScaleNormal="60" zoomScaleSheetLayoutView="100" workbookViewId="0"/>
  </sheetViews>
  <sheetFormatPr defaultRowHeight="16.5" x14ac:dyDescent="0.2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 spans="1:10" x14ac:dyDescent="0.25">
      <c r="A1" s="189" t="s">
        <v>55</v>
      </c>
      <c r="B1" s="190"/>
      <c r="C1" s="190"/>
      <c r="D1" s="190"/>
      <c r="E1" s="190"/>
      <c r="F1" s="190"/>
      <c r="G1" s="190"/>
      <c r="H1" s="190"/>
      <c r="I1" s="190"/>
      <c r="J1" s="190"/>
    </row>
    <row r="2" spans="1:10" s="14" customFormat="1" ht="21.2" customHeight="1" x14ac:dyDescent="0.3">
      <c r="A2" s="1" t="s">
        <v>56</v>
      </c>
      <c r="B2" s="1" t="s">
        <v>57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58</v>
      </c>
      <c r="I2" s="1" t="s">
        <v>8</v>
      </c>
      <c r="J2" s="36" t="s">
        <v>59</v>
      </c>
    </row>
    <row r="3" spans="1:10" x14ac:dyDescent="0.3">
      <c r="A3" s="12" t="s">
        <v>60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2" customHeight="1" x14ac:dyDescent="0.3">
      <c r="A4" s="12" t="s">
        <v>61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96">
        <f>IF(I4=0,0,C4/I4)</f>
        <v>0.3</v>
      </c>
    </row>
    <row r="5" spans="1:10" x14ac:dyDescent="0.3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 x14ac:dyDescent="0.3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 x14ac:dyDescent="0.3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 x14ac:dyDescent="0.3">
      <c r="A8" s="12" t="s">
        <v>62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96">
        <f>IF(I8=0,0,C8/I8)</f>
        <v>0.30769230769230771</v>
      </c>
    </row>
    <row r="9" spans="1:10" x14ac:dyDescent="0.3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4">
        <v>0.28571428571428598</v>
      </c>
    </row>
    <row r="10" spans="1:10" x14ac:dyDescent="0.3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 x14ac:dyDescent="0.3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 x14ac:dyDescent="0.3">
      <c r="A12" s="12" t="s">
        <v>63</v>
      </c>
      <c r="B12" s="126">
        <v>2</v>
      </c>
      <c r="C12" s="126">
        <v>2</v>
      </c>
      <c r="D12" s="126">
        <v>4</v>
      </c>
      <c r="E12" s="126">
        <v>0</v>
      </c>
      <c r="F12" s="126">
        <v>0</v>
      </c>
      <c r="G12" s="126">
        <v>2</v>
      </c>
      <c r="H12" s="126">
        <v>0</v>
      </c>
      <c r="I12" s="125">
        <v>8</v>
      </c>
      <c r="J12" s="96">
        <f>IF(I12=0,0,C12/I12)</f>
        <v>0.25</v>
      </c>
    </row>
    <row r="13" spans="1:10" s="14" customFormat="1" ht="21.2" customHeight="1" x14ac:dyDescent="0.3">
      <c r="A13" s="12" t="s">
        <v>33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4">
        <v>0.27272727272727271</v>
      </c>
    </row>
    <row r="14" spans="1:10" x14ac:dyDescent="0.3">
      <c r="A14" s="12" t="s">
        <v>64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 x14ac:dyDescent="0.3">
      <c r="A15" s="12" t="s">
        <v>65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 x14ac:dyDescent="0.3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 x14ac:dyDescent="0.3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 x14ac:dyDescent="0.3">
      <c r="A18" s="12" t="s">
        <v>66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 x14ac:dyDescent="0.3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 x14ac:dyDescent="0.3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 x14ac:dyDescent="0.3">
      <c r="A21" s="12" t="s">
        <v>67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2" customHeight="1" x14ac:dyDescent="0.3">
      <c r="A23" s="12" t="s">
        <v>69</v>
      </c>
      <c r="B23" s="126">
        <v>2</v>
      </c>
      <c r="C23" s="126">
        <v>3</v>
      </c>
      <c r="D23" s="126">
        <v>5</v>
      </c>
      <c r="E23" s="126">
        <v>1</v>
      </c>
      <c r="F23" s="126">
        <v>0</v>
      </c>
      <c r="G23" s="126">
        <v>2</v>
      </c>
      <c r="H23" s="126">
        <v>0</v>
      </c>
      <c r="I23" s="125">
        <v>11</v>
      </c>
      <c r="J23" s="96">
        <f>IF(I23=0,0,C23/I23)</f>
        <v>0.27272727272727271</v>
      </c>
    </row>
    <row r="24" spans="1:10" x14ac:dyDescent="0.3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 x14ac:dyDescent="0.3">
      <c r="A25" s="12" t="s">
        <v>137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 x14ac:dyDescent="0.3">
      <c r="A26" s="12" t="s">
        <v>70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 x14ac:dyDescent="0.3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 x14ac:dyDescent="0.3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 x14ac:dyDescent="0.3">
      <c r="A29" s="12" t="s">
        <v>71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 x14ac:dyDescent="0.3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 x14ac:dyDescent="0.3">
      <c r="A31" s="12" t="s">
        <v>72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 x14ac:dyDescent="0.3">
      <c r="A32" s="12" t="s">
        <v>73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 x14ac:dyDescent="0.3">
      <c r="A33" s="12" t="s">
        <v>74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 x14ac:dyDescent="0.3">
      <c r="A34" s="12" t="s">
        <v>75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 x14ac:dyDescent="0.3">
      <c r="A35" s="12" t="s">
        <v>76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 x14ac:dyDescent="0.25">
      <c r="A36" t="s">
        <v>77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95">
        <f>IF(I36=0,0,C36/I36)</f>
        <v>0.2857142857142857</v>
      </c>
    </row>
    <row r="37" spans="1:10" x14ac:dyDescent="0.25">
      <c r="A37" t="s">
        <v>78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 x14ac:dyDescent="0.25">
      <c r="A38" t="s">
        <v>79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 x14ac:dyDescent="0.25">
      <c r="A39" t="s">
        <v>80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 x14ac:dyDescent="0.25">
      <c r="A40" t="s">
        <v>81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 x14ac:dyDescent="0.25">
      <c r="A41" s="39" t="s">
        <v>82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  <row r="42" spans="1:10" x14ac:dyDescent="0.25">
      <c r="A42" t="s">
        <v>228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>
        <f>SUM(C42:H42)</f>
        <v>4</v>
      </c>
      <c r="J42">
        <f>IF(I42=0,0,C42/I42)</f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60" zoomScaleSheetLayoutView="100" workbookViewId="0"/>
  </sheetViews>
  <sheetFormatPr defaultRowHeight="16.5" x14ac:dyDescent="0.25"/>
  <cols>
    <col min="1" max="1" width="9.16015625" style="14" customWidth="1"/>
    <col min="2" max="2" width="27.23046875" style="14" customWidth="1"/>
    <col min="3" max="3" width="8.5390625" style="14" customWidth="1"/>
    <col min="4" max="4" width="18.1953125" style="14" customWidth="1"/>
    <col min="5" max="6" width="8.16796875" style="14" customWidth="1"/>
    <col min="7" max="8" width="4.82421875" style="14" customWidth="1"/>
    <col min="9" max="9" width="16.83203125" style="14" customWidth="1"/>
  </cols>
  <sheetData>
    <row r="1" spans="1:9" s="14" customFormat="1" ht="20.100000000000001" customHeight="1" x14ac:dyDescent="0.25">
      <c r="A1" s="191" t="s">
        <v>83</v>
      </c>
      <c r="B1" s="186"/>
      <c r="C1" s="186"/>
      <c r="D1" s="186"/>
      <c r="E1" s="186"/>
      <c r="F1" s="186"/>
      <c r="G1" s="186"/>
      <c r="H1" s="186"/>
      <c r="I1" s="186"/>
    </row>
    <row r="2" spans="1:9" x14ac:dyDescent="0.25">
      <c r="A2" s="193" t="s">
        <v>84</v>
      </c>
      <c r="B2" s="186"/>
      <c r="C2" s="186"/>
      <c r="D2" s="186"/>
      <c r="E2" s="186"/>
      <c r="F2" s="186"/>
      <c r="G2" s="186"/>
      <c r="H2" s="186"/>
      <c r="I2" s="186"/>
    </row>
    <row r="4" spans="1:9" s="14" customFormat="1" ht="15.4" customHeight="1" x14ac:dyDescent="0.25">
      <c r="A4" s="192" t="s">
        <v>85</v>
      </c>
      <c r="B4" s="186"/>
      <c r="C4" s="186"/>
      <c r="D4" s="186"/>
      <c r="E4" s="186"/>
      <c r="F4" s="186"/>
      <c r="G4" s="186"/>
      <c r="H4" s="186"/>
      <c r="I4" s="186"/>
    </row>
    <row r="5" spans="1:9" x14ac:dyDescent="0.2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7</v>
      </c>
    </row>
    <row r="6" spans="1:9" x14ac:dyDescent="0.25">
      <c r="A6" s="16">
        <f t="shared" ref="A6:F6" si="0">SUM(C11:C20)</f>
        <v>130</v>
      </c>
      <c r="B6" s="16">
        <f t="shared" si="0"/>
        <v>47</v>
      </c>
      <c r="C6" s="16">
        <f t="shared" si="0"/>
        <v>56</v>
      </c>
      <c r="D6" s="16">
        <f t="shared" si="0"/>
        <v>2</v>
      </c>
      <c r="E6" s="16">
        <f t="shared" si="0"/>
        <v>12</v>
      </c>
      <c r="F6" s="16">
        <f t="shared" si="0"/>
        <v>13</v>
      </c>
    </row>
    <row r="7" spans="1:9" x14ac:dyDescent="0.25">
      <c r="A7" s="17" t="s">
        <v>91</v>
      </c>
      <c r="B7" s="35">
        <f>B6/A6</f>
        <v>0.36153846153846153</v>
      </c>
      <c r="C7" s="35">
        <f>C6/A6</f>
        <v>0.43076923076923079</v>
      </c>
      <c r="D7" s="35">
        <f>D6/A6</f>
        <v>1.5384615384615385E-2</v>
      </c>
      <c r="E7" s="35">
        <f>E6/A6</f>
        <v>9.2307692307692313E-2</v>
      </c>
      <c r="F7" s="35">
        <f>F6/A6</f>
        <v>0.1</v>
      </c>
    </row>
    <row r="9" spans="1:9" s="14" customFormat="1" ht="15.4" customHeight="1" x14ac:dyDescent="0.25">
      <c r="A9" s="192" t="s">
        <v>92</v>
      </c>
      <c r="B9" s="186"/>
      <c r="C9" s="186"/>
      <c r="D9" s="186"/>
      <c r="E9" s="186"/>
      <c r="F9" s="186"/>
      <c r="G9" s="186"/>
      <c r="H9" s="186"/>
      <c r="I9" s="186"/>
    </row>
    <row r="10" spans="1:9" s="14" customFormat="1" ht="37.5" customHeight="1" x14ac:dyDescent="0.25">
      <c r="A10" s="18" t="s">
        <v>93</v>
      </c>
      <c r="B10" s="18" t="s">
        <v>14</v>
      </c>
      <c r="C10" s="18" t="s">
        <v>94</v>
      </c>
      <c r="D10" s="18" t="s">
        <v>87</v>
      </c>
      <c r="E10" s="18" t="s">
        <v>88</v>
      </c>
      <c r="F10" s="18" t="s">
        <v>95</v>
      </c>
      <c r="G10" s="18" t="s">
        <v>90</v>
      </c>
      <c r="H10" s="18" t="s">
        <v>7</v>
      </c>
      <c r="I10" s="18" t="s">
        <v>96</v>
      </c>
    </row>
    <row r="11" spans="1:9" x14ac:dyDescent="0.25">
      <c r="A11" s="19">
        <v>1</v>
      </c>
      <c r="B11" s="20" t="s">
        <v>97</v>
      </c>
      <c r="C11" s="21">
        <v>36</v>
      </c>
      <c r="D11" s="22">
        <v>12</v>
      </c>
      <c r="E11" s="22">
        <v>17</v>
      </c>
      <c r="F11" s="22">
        <v>0</v>
      </c>
      <c r="G11" s="22">
        <v>2</v>
      </c>
      <c r="H11" s="22">
        <v>5</v>
      </c>
      <c r="I11" s="23" t="s">
        <v>98</v>
      </c>
    </row>
    <row r="12" spans="1:9" x14ac:dyDescent="0.25">
      <c r="A12" s="24">
        <v>2</v>
      </c>
      <c r="B12" s="25" t="s">
        <v>99</v>
      </c>
      <c r="C12" s="26">
        <v>34</v>
      </c>
      <c r="D12" s="27">
        <v>11</v>
      </c>
      <c r="E12" s="27">
        <v>11</v>
      </c>
      <c r="F12" s="27">
        <v>2</v>
      </c>
      <c r="G12" s="27">
        <v>2</v>
      </c>
      <c r="H12" s="27">
        <v>8</v>
      </c>
      <c r="I12" s="28" t="s">
        <v>100</v>
      </c>
    </row>
    <row r="13" spans="1:9" x14ac:dyDescent="0.25">
      <c r="A13" s="19">
        <v>3</v>
      </c>
      <c r="B13" s="20" t="s">
        <v>101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102</v>
      </c>
    </row>
    <row r="14" spans="1:9" x14ac:dyDescent="0.25">
      <c r="A14" s="24">
        <v>4</v>
      </c>
      <c r="B14" s="25" t="s">
        <v>103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104</v>
      </c>
    </row>
    <row r="15" spans="1:9" x14ac:dyDescent="0.25">
      <c r="A15" s="19">
        <v>5</v>
      </c>
      <c r="B15" s="20" t="s">
        <v>105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104</v>
      </c>
    </row>
    <row r="16" spans="1:9" x14ac:dyDescent="0.25">
      <c r="A16" s="24">
        <v>6</v>
      </c>
      <c r="B16" s="25" t="s">
        <v>106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107</v>
      </c>
    </row>
    <row r="17" spans="1:9" x14ac:dyDescent="0.25">
      <c r="A17" s="19">
        <v>7</v>
      </c>
      <c r="B17" s="20" t="s">
        <v>108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109</v>
      </c>
    </row>
    <row r="18" spans="1:9" x14ac:dyDescent="0.25">
      <c r="A18" s="24">
        <v>8</v>
      </c>
      <c r="B18" s="25" t="s">
        <v>110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111</v>
      </c>
    </row>
    <row r="19" spans="1:9" x14ac:dyDescent="0.25">
      <c r="A19" s="19">
        <v>9</v>
      </c>
      <c r="B19" s="20" t="s">
        <v>112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113</v>
      </c>
    </row>
    <row r="20" spans="1:9" s="14" customFormat="1" ht="14.45" customHeight="1" x14ac:dyDescent="0.25">
      <c r="A20" s="24">
        <v>10</v>
      </c>
      <c r="B20" s="25" t="s">
        <v>114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104</v>
      </c>
    </row>
    <row r="21" spans="1:9" s="14" customFormat="1" ht="14.45" customHeight="1" x14ac:dyDescent="0.25">
      <c r="A21" s="29"/>
      <c r="B21" s="30" t="s">
        <v>115</v>
      </c>
      <c r="C21" s="31">
        <f t="shared" ref="C21:H21" si="1">SUM(C11:C20)</f>
        <v>130</v>
      </c>
      <c r="D21" s="31">
        <f t="shared" si="1"/>
        <v>47</v>
      </c>
      <c r="E21" s="31">
        <f t="shared" si="1"/>
        <v>56</v>
      </c>
      <c r="F21" s="31">
        <f t="shared" si="1"/>
        <v>2</v>
      </c>
      <c r="G21" s="31">
        <f t="shared" si="1"/>
        <v>12</v>
      </c>
      <c r="H21" s="31">
        <f t="shared" si="1"/>
        <v>13</v>
      </c>
      <c r="I21" s="29"/>
    </row>
    <row r="22" spans="1:9" s="14" customFormat="1" ht="14.45" customHeight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4"/>
  <sheetViews>
    <sheetView zoomScaleNormal="60" zoomScaleSheetLayoutView="100" workbookViewId="0"/>
  </sheetViews>
  <sheetFormatPr defaultRowHeight="16.5" x14ac:dyDescent="0.2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pans="1:10" s="14" customFormat="1" ht="15.4" customHeight="1" x14ac:dyDescent="0.25">
      <c r="A1" s="194" t="s">
        <v>116</v>
      </c>
      <c r="B1" s="195"/>
      <c r="C1" s="195"/>
      <c r="D1" s="195"/>
      <c r="E1" s="195"/>
      <c r="F1" s="195"/>
      <c r="G1" s="195"/>
      <c r="H1" s="195"/>
      <c r="I1" s="195"/>
      <c r="J1" s="195"/>
    </row>
    <row r="2" spans="1:10" x14ac:dyDescent="0.35">
      <c r="A2" s="40" t="s">
        <v>117</v>
      </c>
      <c r="B2" s="40" t="s">
        <v>118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119</v>
      </c>
      <c r="H2" s="40" t="s">
        <v>6</v>
      </c>
      <c r="I2" s="40" t="s">
        <v>7</v>
      </c>
      <c r="J2" s="40" t="s">
        <v>18</v>
      </c>
    </row>
    <row r="3" spans="1:10" x14ac:dyDescent="0.25">
      <c r="A3" s="41"/>
      <c r="B3" s="42"/>
      <c r="C3" s="43"/>
      <c r="D3" s="42"/>
      <c r="E3" s="42"/>
      <c r="F3" s="42"/>
      <c r="G3" s="42"/>
      <c r="H3" s="42"/>
      <c r="I3" s="42"/>
      <c r="J3" s="44"/>
    </row>
    <row r="4" spans="1:10" ht="17.25" x14ac:dyDescent="0.3">
      <c r="A4" s="42" t="s">
        <v>31</v>
      </c>
      <c r="B4" s="41" t="s">
        <v>120</v>
      </c>
      <c r="C4" s="43" t="s">
        <v>121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 spans="1:10" x14ac:dyDescent="0.25">
      <c r="A5" s="42"/>
      <c r="B5" s="41"/>
      <c r="C5" s="43"/>
      <c r="D5" s="42"/>
      <c r="E5" s="42"/>
      <c r="F5" s="42"/>
      <c r="G5" s="42"/>
      <c r="H5" s="42"/>
      <c r="I5" s="42"/>
      <c r="J5" s="44"/>
    </row>
    <row r="6" spans="1:10" x14ac:dyDescent="0.25">
      <c r="A6" s="42"/>
      <c r="B6" s="42"/>
      <c r="C6" s="43"/>
      <c r="D6" s="42"/>
      <c r="E6" s="42"/>
      <c r="F6" s="42"/>
      <c r="G6" s="42"/>
      <c r="H6" s="42"/>
      <c r="I6" s="42"/>
      <c r="J6" s="44"/>
    </row>
    <row r="7" spans="1:10" x14ac:dyDescent="0.25">
      <c r="A7" s="41"/>
      <c r="B7" s="42"/>
      <c r="C7" s="43"/>
      <c r="D7" s="42"/>
      <c r="E7" s="42"/>
      <c r="F7" s="42"/>
      <c r="G7" s="42"/>
      <c r="H7" s="42"/>
      <c r="I7" s="42"/>
      <c r="J7" s="44"/>
    </row>
    <row r="8" spans="1:10" ht="18.75" x14ac:dyDescent="0.25">
      <c r="A8" s="197" t="s">
        <v>8</v>
      </c>
      <c r="B8" s="195"/>
      <c r="C8" s="195"/>
      <c r="D8" s="45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 spans="1:10" x14ac:dyDescent="0.25">
      <c r="A9" s="196" t="s">
        <v>122</v>
      </c>
      <c r="B9" s="195"/>
      <c r="C9" s="195"/>
      <c r="D9" s="47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 spans="1:10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14" customFormat="1" ht="15.4" customHeight="1" x14ac:dyDescent="0.25">
      <c r="A11" s="194" t="s">
        <v>123</v>
      </c>
      <c r="B11" s="195"/>
      <c r="C11" s="195"/>
      <c r="D11" s="195"/>
      <c r="E11" s="195"/>
      <c r="F11" s="195"/>
      <c r="G11" s="195"/>
      <c r="H11" s="195"/>
      <c r="I11" s="195"/>
      <c r="J11" s="195"/>
    </row>
    <row r="12" spans="1:10" x14ac:dyDescent="0.35">
      <c r="A12" s="40" t="s">
        <v>117</v>
      </c>
      <c r="B12" s="40" t="s">
        <v>118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119</v>
      </c>
      <c r="H12" s="40" t="s">
        <v>6</v>
      </c>
      <c r="I12" s="40" t="s">
        <v>7</v>
      </c>
      <c r="J12" s="40" t="s">
        <v>18</v>
      </c>
    </row>
    <row r="13" spans="1:10" ht="17.25" x14ac:dyDescent="0.3">
      <c r="A13" s="41" t="s">
        <v>60</v>
      </c>
      <c r="B13" s="41" t="s">
        <v>124</v>
      </c>
      <c r="C13" s="43" t="s">
        <v>125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spans="1:10" ht="17.25" x14ac:dyDescent="0.3">
      <c r="A14" s="41" t="s">
        <v>29</v>
      </c>
      <c r="B14" s="42" t="s">
        <v>126</v>
      </c>
      <c r="C14" s="43" t="s">
        <v>127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spans="1:10" ht="17.25" x14ac:dyDescent="0.3">
      <c r="A15" s="42" t="s">
        <v>31</v>
      </c>
      <c r="B15" s="42" t="s">
        <v>128</v>
      </c>
      <c r="C15" s="43" t="s">
        <v>129</v>
      </c>
      <c r="D15" s="42">
        <v>6</v>
      </c>
      <c r="E15" s="42">
        <v>2</v>
      </c>
      <c r="F15" s="42">
        <v>2</v>
      </c>
      <c r="G15" s="42">
        <v>1</v>
      </c>
      <c r="H15" s="42">
        <v>1</v>
      </c>
      <c r="I15" s="42">
        <v>0</v>
      </c>
      <c r="J15" s="44"/>
    </row>
    <row r="16" spans="1:10" ht="18.75" x14ac:dyDescent="0.25">
      <c r="A16" s="197" t="s">
        <v>8</v>
      </c>
      <c r="B16" s="195"/>
      <c r="C16" s="195"/>
      <c r="D16" s="45">
        <f t="shared" ref="D16:I16" si="2">SUM(D13:D15)</f>
        <v>18</v>
      </c>
      <c r="E16" s="45">
        <f t="shared" si="2"/>
        <v>6</v>
      </c>
      <c r="F16" s="45">
        <f t="shared" si="2"/>
        <v>8</v>
      </c>
      <c r="G16" s="45">
        <f t="shared" si="2"/>
        <v>1</v>
      </c>
      <c r="H16" s="45">
        <f t="shared" si="2"/>
        <v>3</v>
      </c>
      <c r="I16" s="45">
        <f t="shared" si="2"/>
        <v>0</v>
      </c>
      <c r="J16" s="46"/>
    </row>
    <row r="17" spans="1:10" x14ac:dyDescent="0.25">
      <c r="A17" s="196" t="s">
        <v>122</v>
      </c>
      <c r="B17" s="195"/>
      <c r="C17" s="195"/>
      <c r="D17" s="47">
        <f t="shared" ref="D17:I17" si="3">IF($D$16=0,0,D16/$D$16)</f>
        <v>1</v>
      </c>
      <c r="E17" s="47">
        <f t="shared" si="3"/>
        <v>0.33333333333333331</v>
      </c>
      <c r="F17" s="47">
        <f t="shared" si="3"/>
        <v>0.44444444444444442</v>
      </c>
      <c r="G17" s="47">
        <f t="shared" si="3"/>
        <v>5.5555555555555552E-2</v>
      </c>
      <c r="H17" s="47">
        <f t="shared" si="3"/>
        <v>0.16666666666666666</v>
      </c>
      <c r="I17" s="47">
        <f t="shared" si="3"/>
        <v>0</v>
      </c>
      <c r="J17" s="48"/>
    </row>
    <row r="18" spans="1:10" x14ac:dyDescent="0.25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14" customFormat="1" ht="15.4" customHeight="1" x14ac:dyDescent="0.25">
      <c r="A19" s="194" t="s">
        <v>130</v>
      </c>
      <c r="B19" s="195"/>
      <c r="C19" s="195"/>
      <c r="D19" s="195"/>
      <c r="E19" s="195"/>
      <c r="F19" s="195"/>
      <c r="G19" s="195"/>
      <c r="H19" s="195"/>
      <c r="I19" s="195"/>
      <c r="J19" s="195"/>
    </row>
    <row r="20" spans="1:10" x14ac:dyDescent="0.35">
      <c r="A20" s="40" t="s">
        <v>117</v>
      </c>
      <c r="B20" s="40" t="s">
        <v>118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119</v>
      </c>
      <c r="H20" s="40" t="s">
        <v>6</v>
      </c>
      <c r="I20" s="40" t="s">
        <v>7</v>
      </c>
      <c r="J20" s="40" t="s">
        <v>18</v>
      </c>
    </row>
    <row r="21" spans="1:10" ht="17.25" x14ac:dyDescent="0.3">
      <c r="A21" s="42" t="s">
        <v>37</v>
      </c>
      <c r="B21" s="42" t="s">
        <v>131</v>
      </c>
      <c r="C21" s="43" t="s">
        <v>132</v>
      </c>
      <c r="D21" s="42">
        <v>6</v>
      </c>
      <c r="E21" s="42">
        <v>2</v>
      </c>
      <c r="F21" s="42">
        <v>3</v>
      </c>
      <c r="G21" s="42">
        <v>0</v>
      </c>
      <c r="H21" s="42">
        <v>1</v>
      </c>
      <c r="I21" s="42">
        <v>0</v>
      </c>
      <c r="J21" s="44"/>
    </row>
    <row r="22" spans="1:10" ht="17.25" x14ac:dyDescent="0.3">
      <c r="A22" s="42" t="s">
        <v>62</v>
      </c>
      <c r="B22" s="41" t="s">
        <v>133</v>
      </c>
      <c r="C22" s="43" t="s">
        <v>134</v>
      </c>
      <c r="D22" s="42">
        <v>6</v>
      </c>
      <c r="E22" s="42">
        <v>2</v>
      </c>
      <c r="F22" s="42">
        <v>3</v>
      </c>
      <c r="G22" s="42">
        <v>0</v>
      </c>
      <c r="H22" s="42">
        <v>1</v>
      </c>
      <c r="I22" s="42">
        <v>0</v>
      </c>
      <c r="J22" s="44"/>
    </row>
    <row r="23" spans="1:10" ht="17.25" x14ac:dyDescent="0.3">
      <c r="A23" s="42" t="s">
        <v>43</v>
      </c>
      <c r="B23" s="41" t="s">
        <v>135</v>
      </c>
      <c r="C23" s="43" t="s">
        <v>136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spans="1:10" ht="17.25" x14ac:dyDescent="0.3">
      <c r="A24" s="42" t="s">
        <v>137</v>
      </c>
      <c r="B24" s="41" t="s">
        <v>138</v>
      </c>
      <c r="C24" s="43" t="s">
        <v>139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spans="1:10" ht="17.25" x14ac:dyDescent="0.3">
      <c r="A25" s="42" t="s">
        <v>45</v>
      </c>
      <c r="B25" s="41" t="s">
        <v>140</v>
      </c>
      <c r="C25" s="43" t="s">
        <v>141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spans="1:10" ht="17.25" x14ac:dyDescent="0.3">
      <c r="A26" s="41" t="s">
        <v>21</v>
      </c>
      <c r="B26" s="41" t="s">
        <v>142</v>
      </c>
      <c r="C26" s="43" t="s">
        <v>143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spans="1:10" ht="18.75" x14ac:dyDescent="0.25">
      <c r="A27" s="197" t="s">
        <v>8</v>
      </c>
      <c r="B27" s="195"/>
      <c r="C27" s="195"/>
      <c r="D27" s="45">
        <f t="shared" ref="D27:I27" si="4">SUM(D21:D26)</f>
        <v>28</v>
      </c>
      <c r="E27" s="45">
        <f t="shared" si="4"/>
        <v>9</v>
      </c>
      <c r="F27" s="45">
        <f t="shared" si="4"/>
        <v>13</v>
      </c>
      <c r="G27" s="45">
        <f t="shared" si="4"/>
        <v>2</v>
      </c>
      <c r="H27" s="45">
        <f t="shared" si="4"/>
        <v>4</v>
      </c>
      <c r="I27" s="45">
        <f t="shared" si="4"/>
        <v>0</v>
      </c>
      <c r="J27" s="46"/>
    </row>
    <row r="28" spans="1:10" x14ac:dyDescent="0.25">
      <c r="A28" s="196" t="s">
        <v>122</v>
      </c>
      <c r="B28" s="195"/>
      <c r="C28" s="195"/>
      <c r="D28" s="47">
        <f t="shared" ref="D28:I28" si="5">IF($D$27=0,0,D27/$D$27)</f>
        <v>1</v>
      </c>
      <c r="E28" s="47">
        <f t="shared" si="5"/>
        <v>0.32142857142857145</v>
      </c>
      <c r="F28" s="47">
        <f t="shared" si="5"/>
        <v>0.4642857142857143</v>
      </c>
      <c r="G28" s="47">
        <f t="shared" si="5"/>
        <v>7.1428571428571425E-2</v>
      </c>
      <c r="H28" s="47">
        <f t="shared" si="5"/>
        <v>0.14285714285714285</v>
      </c>
      <c r="I28" s="47">
        <f t="shared" si="5"/>
        <v>0</v>
      </c>
      <c r="J28" s="48"/>
    </row>
    <row r="29" spans="1:10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14" customFormat="1" ht="15.4" customHeight="1" x14ac:dyDescent="0.25">
      <c r="A30" s="194" t="s">
        <v>144</v>
      </c>
      <c r="B30" s="195"/>
      <c r="C30" s="195"/>
      <c r="D30" s="195"/>
      <c r="E30" s="195"/>
      <c r="F30" s="195"/>
      <c r="G30" s="195"/>
      <c r="H30" s="195"/>
      <c r="I30" s="195"/>
      <c r="J30" s="195"/>
    </row>
    <row r="31" spans="1:10" x14ac:dyDescent="0.35">
      <c r="A31" s="40" t="s">
        <v>117</v>
      </c>
      <c r="B31" s="40" t="s">
        <v>118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119</v>
      </c>
      <c r="H31" s="40" t="s">
        <v>6</v>
      </c>
      <c r="I31" s="40" t="s">
        <v>7</v>
      </c>
      <c r="J31" s="40" t="s">
        <v>18</v>
      </c>
    </row>
    <row r="32" spans="1:10" ht="17.25" x14ac:dyDescent="0.3">
      <c r="A32" s="42" t="s">
        <v>39</v>
      </c>
      <c r="B32" s="42" t="s">
        <v>128</v>
      </c>
      <c r="C32" s="43" t="s">
        <v>145</v>
      </c>
      <c r="D32" s="42">
        <v>4</v>
      </c>
      <c r="E32" s="42">
        <v>1</v>
      </c>
      <c r="F32" s="42">
        <v>2</v>
      </c>
      <c r="G32" s="42">
        <v>1</v>
      </c>
      <c r="H32" s="42">
        <v>0</v>
      </c>
      <c r="I32" s="42">
        <v>0</v>
      </c>
      <c r="J32" s="44"/>
    </row>
    <row r="33" spans="1:10" ht="17.25" x14ac:dyDescent="0.3">
      <c r="A33" s="42" t="s">
        <v>33</v>
      </c>
      <c r="B33" s="42" t="s">
        <v>128</v>
      </c>
      <c r="C33" s="43" t="s">
        <v>129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spans="1:10" ht="17.25" x14ac:dyDescent="0.3">
      <c r="A34" s="42" t="s">
        <v>62</v>
      </c>
      <c r="B34" s="41" t="s">
        <v>146</v>
      </c>
      <c r="C34" s="43" t="s">
        <v>147</v>
      </c>
      <c r="D34" s="42">
        <v>7</v>
      </c>
      <c r="E34" s="42">
        <v>2</v>
      </c>
      <c r="F34" s="42">
        <v>3</v>
      </c>
      <c r="G34" s="42">
        <v>1</v>
      </c>
      <c r="H34" s="42">
        <v>1</v>
      </c>
      <c r="I34" s="42">
        <v>0</v>
      </c>
      <c r="J34" s="44"/>
    </row>
    <row r="35" spans="1:10" ht="17.25" x14ac:dyDescent="0.3">
      <c r="A35" s="41" t="s">
        <v>53</v>
      </c>
      <c r="B35" s="41" t="s">
        <v>148</v>
      </c>
      <c r="C35" s="43" t="s">
        <v>149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spans="1:10" ht="17.25" x14ac:dyDescent="0.3">
      <c r="A36" s="41" t="s">
        <v>41</v>
      </c>
      <c r="B36" s="41" t="s">
        <v>120</v>
      </c>
      <c r="C36" s="43" t="s">
        <v>150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spans="1:10" ht="17.25" x14ac:dyDescent="0.3">
      <c r="A37" s="41" t="s">
        <v>41</v>
      </c>
      <c r="B37" s="42" t="s">
        <v>128</v>
      </c>
      <c r="C37" s="43" t="s">
        <v>145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spans="1:10" ht="18.75" x14ac:dyDescent="0.25">
      <c r="A38" s="197" t="s">
        <v>8</v>
      </c>
      <c r="B38" s="195"/>
      <c r="C38" s="195"/>
      <c r="D38" s="45">
        <f t="shared" ref="D38:I38" si="6">SUM(D32:D37)</f>
        <v>24</v>
      </c>
      <c r="E38" s="45">
        <f t="shared" si="6"/>
        <v>7</v>
      </c>
      <c r="F38" s="45">
        <f t="shared" si="6"/>
        <v>11</v>
      </c>
      <c r="G38" s="45">
        <f t="shared" si="6"/>
        <v>3</v>
      </c>
      <c r="H38" s="45">
        <f t="shared" si="6"/>
        <v>3</v>
      </c>
      <c r="I38" s="45">
        <f t="shared" si="6"/>
        <v>0</v>
      </c>
      <c r="J38" s="46"/>
    </row>
    <row r="39" spans="1:10" x14ac:dyDescent="0.25">
      <c r="A39" s="196" t="s">
        <v>122</v>
      </c>
      <c r="B39" s="195"/>
      <c r="C39" s="195"/>
      <c r="D39" s="47">
        <f t="shared" ref="D39:I39" si="7">IF($D$38=0,0,D38/$D$38)</f>
        <v>1</v>
      </c>
      <c r="E39" s="47">
        <f t="shared" si="7"/>
        <v>0.29166666666666669</v>
      </c>
      <c r="F39" s="47">
        <f t="shared" si="7"/>
        <v>0.45833333333333331</v>
      </c>
      <c r="G39" s="47">
        <f t="shared" si="7"/>
        <v>0.125</v>
      </c>
      <c r="H39" s="47">
        <f t="shared" si="7"/>
        <v>0.125</v>
      </c>
      <c r="I39" s="47">
        <f t="shared" si="7"/>
        <v>0</v>
      </c>
      <c r="J39" s="48"/>
    </row>
    <row r="40" spans="1:10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14" customFormat="1" ht="15.4" customHeight="1" x14ac:dyDescent="0.25">
      <c r="A41" s="194" t="s">
        <v>151</v>
      </c>
      <c r="B41" s="195"/>
      <c r="C41" s="195"/>
      <c r="D41" s="195"/>
      <c r="E41" s="195"/>
      <c r="F41" s="195"/>
      <c r="G41" s="195"/>
      <c r="H41" s="195"/>
      <c r="I41" s="195"/>
      <c r="J41" s="195"/>
    </row>
    <row r="42" spans="1:10" x14ac:dyDescent="0.35">
      <c r="A42" s="40" t="s">
        <v>117</v>
      </c>
      <c r="B42" s="40" t="s">
        <v>118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119</v>
      </c>
      <c r="H42" s="40" t="s">
        <v>6</v>
      </c>
      <c r="I42" s="40" t="s">
        <v>7</v>
      </c>
      <c r="J42" s="40" t="s">
        <v>18</v>
      </c>
    </row>
    <row r="43" spans="1:10" x14ac:dyDescent="0.25">
      <c r="A43" s="41" t="s">
        <v>61</v>
      </c>
      <c r="B43" s="38" t="s">
        <v>142</v>
      </c>
      <c r="C43" s="38" t="s">
        <v>152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spans="1:10" ht="17.25" x14ac:dyDescent="0.3">
      <c r="A44" s="41" t="s">
        <v>65</v>
      </c>
      <c r="B44" s="41" t="s">
        <v>153</v>
      </c>
      <c r="C44" s="43" t="s">
        <v>154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spans="1:10" ht="17.25" x14ac:dyDescent="0.3">
      <c r="A45" s="42" t="s">
        <v>62</v>
      </c>
      <c r="B45" s="41" t="s">
        <v>133</v>
      </c>
      <c r="C45" s="43" t="s">
        <v>134</v>
      </c>
      <c r="D45" s="42">
        <v>6</v>
      </c>
      <c r="E45" s="42">
        <v>2</v>
      </c>
      <c r="F45" s="42">
        <v>3</v>
      </c>
      <c r="G45" s="42">
        <v>0</v>
      </c>
      <c r="H45" s="42">
        <v>1</v>
      </c>
      <c r="I45" s="42">
        <v>0</v>
      </c>
      <c r="J45" s="44"/>
    </row>
    <row r="46" spans="1:10" ht="17.25" x14ac:dyDescent="0.3">
      <c r="A46" s="41" t="s">
        <v>63</v>
      </c>
      <c r="B46" s="41" t="s">
        <v>155</v>
      </c>
      <c r="C46" s="43" t="s">
        <v>156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spans="1:10" ht="18.75" x14ac:dyDescent="0.25">
      <c r="A47" s="197" t="s">
        <v>8</v>
      </c>
      <c r="B47" s="195"/>
      <c r="C47" s="195"/>
      <c r="D47" s="45">
        <f t="shared" ref="D47:I47" si="8">SUM(D43:D46)</f>
        <v>19</v>
      </c>
      <c r="E47" s="45">
        <f t="shared" si="8"/>
        <v>5</v>
      </c>
      <c r="F47" s="45">
        <f t="shared" si="8"/>
        <v>8</v>
      </c>
      <c r="G47" s="45">
        <f t="shared" si="8"/>
        <v>1</v>
      </c>
      <c r="H47" s="45">
        <f t="shared" si="8"/>
        <v>5</v>
      </c>
      <c r="I47" s="45">
        <f t="shared" si="8"/>
        <v>0</v>
      </c>
      <c r="J47" s="46"/>
    </row>
    <row r="48" spans="1:10" x14ac:dyDescent="0.25">
      <c r="A48" s="196" t="s">
        <v>122</v>
      </c>
      <c r="B48" s="195"/>
      <c r="C48" s="195"/>
      <c r="D48" s="47">
        <f t="shared" ref="D48:I48" si="9">IF($D$47=0,0,D47/$D$47)</f>
        <v>1</v>
      </c>
      <c r="E48" s="47">
        <f t="shared" si="9"/>
        <v>0.26315789473684209</v>
      </c>
      <c r="F48" s="47">
        <f t="shared" si="9"/>
        <v>0.42105263157894735</v>
      </c>
      <c r="G48" s="47">
        <f t="shared" si="9"/>
        <v>5.2631578947368418E-2</v>
      </c>
      <c r="H48" s="47">
        <f t="shared" si="9"/>
        <v>0.26315789473684209</v>
      </c>
      <c r="I48" s="47">
        <f t="shared" si="9"/>
        <v>0</v>
      </c>
      <c r="J48" s="48"/>
    </row>
    <row r="49" spans="1:10" x14ac:dyDescent="0.25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14" customFormat="1" ht="15.4" customHeight="1" x14ac:dyDescent="0.25">
      <c r="A50" s="194" t="s">
        <v>157</v>
      </c>
      <c r="B50" s="195"/>
      <c r="C50" s="195"/>
      <c r="D50" s="195"/>
      <c r="E50" s="195"/>
      <c r="F50" s="195"/>
      <c r="G50" s="195"/>
      <c r="H50" s="195"/>
      <c r="I50" s="195"/>
      <c r="J50" s="195"/>
    </row>
    <row r="51" spans="1:10" x14ac:dyDescent="0.35">
      <c r="A51" s="40" t="s">
        <v>117</v>
      </c>
      <c r="B51" s="40" t="s">
        <v>118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119</v>
      </c>
      <c r="H51" s="40" t="s">
        <v>6</v>
      </c>
      <c r="I51" s="40" t="s">
        <v>7</v>
      </c>
      <c r="J51" s="40" t="s">
        <v>18</v>
      </c>
    </row>
    <row r="52" spans="1:10" x14ac:dyDescent="0.25">
      <c r="A52" s="42" t="s">
        <v>66</v>
      </c>
      <c r="B52" s="38" t="s">
        <v>155</v>
      </c>
      <c r="C52" s="38" t="s">
        <v>158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spans="1:10" ht="17.25" x14ac:dyDescent="0.3">
      <c r="A53" s="42" t="s">
        <v>37</v>
      </c>
      <c r="B53" s="42" t="s">
        <v>131</v>
      </c>
      <c r="C53" s="43" t="s">
        <v>132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spans="1:10" ht="17.25" x14ac:dyDescent="0.3">
      <c r="A54" s="41" t="s">
        <v>67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spans="1:10" ht="17.25" x14ac:dyDescent="0.3">
      <c r="A55" s="42" t="s">
        <v>68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spans="1:10" ht="17.25" x14ac:dyDescent="0.3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spans="1:10" ht="17.25" x14ac:dyDescent="0.3">
      <c r="A57" s="41" t="s">
        <v>60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spans="1:10" ht="17.25" x14ac:dyDescent="0.3">
      <c r="A58" s="42" t="s">
        <v>62</v>
      </c>
      <c r="B58" s="41" t="s">
        <v>146</v>
      </c>
      <c r="C58" s="43" t="s">
        <v>147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spans="1:10" ht="17.25" x14ac:dyDescent="0.3">
      <c r="A59" s="42" t="s">
        <v>64</v>
      </c>
      <c r="B59" s="42" t="s">
        <v>128</v>
      </c>
      <c r="C59" s="43" t="s">
        <v>167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spans="1:10" ht="17.25" x14ac:dyDescent="0.3">
      <c r="A60" s="41" t="s">
        <v>60</v>
      </c>
      <c r="B60" s="42" t="s">
        <v>168</v>
      </c>
      <c r="C60" s="43" t="s">
        <v>169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spans="1:10" ht="17.25" x14ac:dyDescent="0.3">
      <c r="A61" s="41" t="s">
        <v>61</v>
      </c>
      <c r="B61" s="41" t="s">
        <v>133</v>
      </c>
      <c r="C61" s="43" t="s">
        <v>134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spans="1:10" ht="17.25" x14ac:dyDescent="0.3">
      <c r="A62" s="41" t="s">
        <v>35</v>
      </c>
      <c r="B62" s="42" t="s">
        <v>170</v>
      </c>
      <c r="C62" s="43" t="s">
        <v>171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spans="1:10" ht="17.25" x14ac:dyDescent="0.3">
      <c r="A63" s="42" t="s">
        <v>172</v>
      </c>
      <c r="B63" s="41" t="s">
        <v>173</v>
      </c>
      <c r="C63" s="43" t="s">
        <v>174</v>
      </c>
      <c r="D63" s="42">
        <v>4</v>
      </c>
      <c r="E63" s="42">
        <v>1</v>
      </c>
      <c r="F63" s="42">
        <v>2</v>
      </c>
      <c r="G63" s="42">
        <v>0</v>
      </c>
      <c r="H63" s="42">
        <v>1</v>
      </c>
      <c r="I63" s="42">
        <v>0</v>
      </c>
      <c r="J63" s="44"/>
    </row>
    <row r="64" spans="1:10" ht="18.75" x14ac:dyDescent="0.25">
      <c r="A64" s="197" t="s">
        <v>8</v>
      </c>
      <c r="B64" s="195"/>
      <c r="C64" s="195"/>
      <c r="D64" s="45">
        <f t="shared" ref="D64:I64" si="10">SUM(D52:D63)</f>
        <v>46</v>
      </c>
      <c r="E64" s="45">
        <f t="shared" si="10"/>
        <v>15</v>
      </c>
      <c r="F64" s="45">
        <f t="shared" si="10"/>
        <v>18</v>
      </c>
      <c r="G64" s="45">
        <f t="shared" si="10"/>
        <v>4</v>
      </c>
      <c r="H64" s="45">
        <f t="shared" si="10"/>
        <v>9</v>
      </c>
      <c r="I64" s="45">
        <f t="shared" si="10"/>
        <v>0</v>
      </c>
      <c r="J64" s="46"/>
    </row>
    <row r="65" spans="1:10" x14ac:dyDescent="0.25">
      <c r="A65" s="196" t="s">
        <v>122</v>
      </c>
      <c r="B65" s="195"/>
      <c r="C65" s="195"/>
      <c r="D65" s="47">
        <f t="shared" ref="D65:I65" si="11">IF($D$64=0,0,D64/$D$64)</f>
        <v>1</v>
      </c>
      <c r="E65" s="47">
        <f t="shared" si="11"/>
        <v>0.32608695652173914</v>
      </c>
      <c r="F65" s="47">
        <f t="shared" si="11"/>
        <v>0.39130434782608697</v>
      </c>
      <c r="G65" s="47">
        <f t="shared" si="11"/>
        <v>8.6956521739130432E-2</v>
      </c>
      <c r="H65" s="47">
        <f t="shared" si="11"/>
        <v>0.19565217391304349</v>
      </c>
      <c r="I65" s="47">
        <f t="shared" si="11"/>
        <v>0</v>
      </c>
      <c r="J65" s="48"/>
    </row>
    <row r="66" spans="1:10" x14ac:dyDescent="0.25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14" customFormat="1" ht="15.4" customHeight="1" x14ac:dyDescent="0.25">
      <c r="A67" s="194" t="s">
        <v>175</v>
      </c>
      <c r="B67" s="195"/>
      <c r="C67" s="195"/>
      <c r="D67" s="195"/>
      <c r="E67" s="195"/>
      <c r="F67" s="195"/>
      <c r="G67" s="195"/>
      <c r="H67" s="195"/>
      <c r="I67" s="195"/>
      <c r="J67" s="195"/>
    </row>
    <row r="68" spans="1:10" x14ac:dyDescent="0.35">
      <c r="A68" s="40" t="s">
        <v>117</v>
      </c>
      <c r="B68" s="40" t="s">
        <v>118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119</v>
      </c>
      <c r="H68" s="40" t="s">
        <v>6</v>
      </c>
      <c r="I68" s="40" t="s">
        <v>7</v>
      </c>
      <c r="J68" s="40" t="s">
        <v>18</v>
      </c>
    </row>
    <row r="69" spans="1:10" x14ac:dyDescent="0.25">
      <c r="A69" s="41" t="s">
        <v>69</v>
      </c>
      <c r="B69" s="38" t="s">
        <v>176</v>
      </c>
      <c r="C69" s="38" t="s">
        <v>177</v>
      </c>
      <c r="D69" s="174">
        <v>8</v>
      </c>
      <c r="E69" s="175">
        <v>2</v>
      </c>
      <c r="F69" s="175">
        <v>4</v>
      </c>
      <c r="G69" s="175">
        <v>1</v>
      </c>
      <c r="H69" s="175">
        <v>1</v>
      </c>
      <c r="I69" s="176">
        <v>0</v>
      </c>
      <c r="J69" s="44"/>
    </row>
    <row r="70" spans="1:10" ht="17.25" x14ac:dyDescent="0.3">
      <c r="A70" s="41" t="s">
        <v>61</v>
      </c>
      <c r="B70" s="42" t="s">
        <v>128</v>
      </c>
      <c r="C70" s="43" t="s">
        <v>178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spans="1:10" ht="17.25" x14ac:dyDescent="0.3">
      <c r="A71" s="41" t="s">
        <v>179</v>
      </c>
      <c r="B71" s="41" t="s">
        <v>180</v>
      </c>
      <c r="C71" s="43" t="s">
        <v>181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 spans="1:10" x14ac:dyDescent="0.2">
      <c r="A72" s="51" t="s">
        <v>23</v>
      </c>
      <c r="B72" s="51" t="s">
        <v>182</v>
      </c>
      <c r="C72" s="51" t="s">
        <v>183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 spans="1:10" x14ac:dyDescent="0.25">
      <c r="A73" s="48" t="s">
        <v>82</v>
      </c>
      <c r="B73" s="48" t="s">
        <v>184</v>
      </c>
      <c r="C73" s="48" t="s">
        <v>185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 spans="1:10" x14ac:dyDescent="0.25">
      <c r="A74" s="54" t="s">
        <v>8</v>
      </c>
      <c r="B74" s="54"/>
      <c r="C74" s="54"/>
      <c r="D74" s="177">
        <f t="shared" ref="D74:I74" si="12">SUM(D69:D73)</f>
        <v>17</v>
      </c>
      <c r="E74" s="177">
        <f t="shared" si="12"/>
        <v>4</v>
      </c>
      <c r="F74" s="177">
        <f t="shared" si="12"/>
        <v>6</v>
      </c>
      <c r="G74" s="177">
        <f t="shared" si="12"/>
        <v>4</v>
      </c>
      <c r="H74" s="177">
        <f t="shared" si="12"/>
        <v>3</v>
      </c>
      <c r="I74" s="177">
        <f t="shared" si="12"/>
        <v>0</v>
      </c>
      <c r="J74" s="54"/>
    </row>
    <row r="75" spans="1:10" s="14" customFormat="1" ht="15.4" customHeight="1" x14ac:dyDescent="0.25">
      <c r="A75" s="56" t="s">
        <v>122</v>
      </c>
      <c r="B75" s="48"/>
      <c r="C75" s="48"/>
      <c r="D75" s="97">
        <f t="shared" ref="D75:I75" si="13">IF($D$74=0,0,D74/$D$74)</f>
        <v>1</v>
      </c>
      <c r="E75" s="97">
        <f t="shared" si="13"/>
        <v>0.23529411764705882</v>
      </c>
      <c r="F75" s="97">
        <f t="shared" si="13"/>
        <v>0.35294117647058826</v>
      </c>
      <c r="G75" s="97">
        <f t="shared" si="13"/>
        <v>0.23529411764705882</v>
      </c>
      <c r="H75" s="97">
        <f t="shared" si="13"/>
        <v>0.17647058823529413</v>
      </c>
      <c r="I75" s="97">
        <f t="shared" si="13"/>
        <v>0</v>
      </c>
      <c r="J75" s="48"/>
    </row>
    <row r="76" spans="1:10" s="14" customFormat="1" ht="19.149999999999999" customHeight="1" x14ac:dyDescent="0.25">
      <c r="A76" s="200" t="s">
        <v>186</v>
      </c>
      <c r="B76" s="195"/>
      <c r="C76" s="195"/>
      <c r="D76" s="195"/>
      <c r="E76" s="195"/>
      <c r="F76" s="195"/>
      <c r="G76" s="195"/>
      <c r="H76" s="195"/>
      <c r="I76" s="195"/>
      <c r="J76" s="195"/>
    </row>
    <row r="77" spans="1:10" s="14" customFormat="1" ht="19.149999999999999" customHeight="1" x14ac:dyDescent="0.3">
      <c r="A77" s="57" t="s">
        <v>117</v>
      </c>
      <c r="B77" s="58" t="s">
        <v>118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119</v>
      </c>
      <c r="H77" s="59" t="s">
        <v>6</v>
      </c>
      <c r="I77" s="59" t="s">
        <v>7</v>
      </c>
      <c r="J77" s="58" t="s">
        <v>18</v>
      </c>
    </row>
    <row r="78" spans="1:10" x14ac:dyDescent="0.25">
      <c r="A78" s="42" t="s">
        <v>29</v>
      </c>
      <c r="B78" s="38" t="s">
        <v>124</v>
      </c>
      <c r="C78" s="38" t="s">
        <v>187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 spans="1:10" x14ac:dyDescent="0.25">
      <c r="A79" s="42" t="s">
        <v>73</v>
      </c>
      <c r="B79" s="38" t="s">
        <v>120</v>
      </c>
      <c r="C79" s="38" t="s">
        <v>188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spans="1:10" ht="17.25" x14ac:dyDescent="0.3">
      <c r="A80" s="41" t="s">
        <v>23</v>
      </c>
      <c r="B80" s="41" t="s">
        <v>189</v>
      </c>
      <c r="C80" s="43" t="s">
        <v>190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spans="1:10" ht="17.25" x14ac:dyDescent="0.3">
      <c r="A81" s="41" t="s">
        <v>49</v>
      </c>
      <c r="B81" s="41" t="s">
        <v>191</v>
      </c>
      <c r="C81" s="43" t="s">
        <v>192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spans="1:10" ht="17.25" x14ac:dyDescent="0.3">
      <c r="A82" s="42" t="s">
        <v>53</v>
      </c>
      <c r="B82" s="41" t="s">
        <v>173</v>
      </c>
      <c r="C82" s="43" t="s">
        <v>174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spans="1:10" ht="17.25" x14ac:dyDescent="0.3">
      <c r="A83" s="42" t="s">
        <v>37</v>
      </c>
      <c r="B83" s="41" t="s">
        <v>193</v>
      </c>
      <c r="C83" s="43" t="s">
        <v>194</v>
      </c>
      <c r="D83" s="42">
        <v>3</v>
      </c>
      <c r="E83" s="42">
        <v>2</v>
      </c>
      <c r="F83" s="42">
        <v>1</v>
      </c>
      <c r="G83" s="42">
        <v>0</v>
      </c>
      <c r="H83" s="42">
        <v>0</v>
      </c>
      <c r="I83" s="42">
        <v>0</v>
      </c>
      <c r="J83" s="44"/>
    </row>
    <row r="84" spans="1:10" ht="17.25" x14ac:dyDescent="0.3">
      <c r="A84" s="42" t="s">
        <v>37</v>
      </c>
      <c r="B84" s="41" t="s">
        <v>193</v>
      </c>
      <c r="C84" s="43" t="s">
        <v>194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spans="1:10" ht="17.25" x14ac:dyDescent="0.35">
      <c r="A85" s="60" t="s">
        <v>33</v>
      </c>
      <c r="B85" s="48" t="s">
        <v>153</v>
      </c>
      <c r="C85" s="48" t="s">
        <v>195</v>
      </c>
      <c r="D85" s="53">
        <v>2</v>
      </c>
      <c r="E85" s="53">
        <v>1</v>
      </c>
      <c r="F85" s="53">
        <v>1</v>
      </c>
      <c r="G85" s="53">
        <v>0</v>
      </c>
      <c r="H85" s="53">
        <v>0</v>
      </c>
      <c r="I85" s="53">
        <v>0</v>
      </c>
      <c r="J85" s="48"/>
    </row>
    <row r="86" spans="1:10" ht="18.75" x14ac:dyDescent="0.25">
      <c r="A86" s="198" t="s">
        <v>8</v>
      </c>
      <c r="B86" s="195"/>
      <c r="C86" s="195"/>
      <c r="D86" s="55">
        <f t="shared" ref="D86:I86" si="14">SUM(D78:D85)</f>
        <v>25</v>
      </c>
      <c r="E86" s="55">
        <f t="shared" si="14"/>
        <v>10</v>
      </c>
      <c r="F86" s="55">
        <f t="shared" si="14"/>
        <v>11</v>
      </c>
      <c r="G86" s="55">
        <f t="shared" si="14"/>
        <v>1</v>
      </c>
      <c r="H86" s="55">
        <f t="shared" si="14"/>
        <v>3</v>
      </c>
      <c r="I86" s="55">
        <f t="shared" si="14"/>
        <v>0</v>
      </c>
      <c r="J86" s="61"/>
    </row>
    <row r="87" spans="1:10" x14ac:dyDescent="0.25">
      <c r="A87" s="48" t="s">
        <v>122</v>
      </c>
      <c r="B87" s="48"/>
      <c r="C87" s="48"/>
      <c r="D87" s="47">
        <f t="shared" ref="D87:I87" si="15">IF($D$86=0,0,D86/$D$86)</f>
        <v>1</v>
      </c>
      <c r="E87" s="47">
        <f t="shared" si="15"/>
        <v>0.4</v>
      </c>
      <c r="F87" s="47">
        <f t="shared" si="15"/>
        <v>0.44</v>
      </c>
      <c r="G87" s="47">
        <f t="shared" si="15"/>
        <v>0.04</v>
      </c>
      <c r="H87" s="47">
        <f t="shared" si="15"/>
        <v>0.12</v>
      </c>
      <c r="I87" s="47">
        <f t="shared" si="15"/>
        <v>0</v>
      </c>
      <c r="J87" s="48"/>
    </row>
    <row r="88" spans="1:10" s="14" customFormat="1" ht="15.4" customHeight="1" x14ac:dyDescent="0.25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pans="1:10" s="14" customFormat="1" ht="19.149999999999999" customHeight="1" x14ac:dyDescent="0.25">
      <c r="A89" s="200" t="s">
        <v>196</v>
      </c>
      <c r="B89" s="195"/>
      <c r="C89" s="195"/>
      <c r="D89" s="195"/>
      <c r="E89" s="195"/>
      <c r="F89" s="195"/>
      <c r="G89" s="195"/>
      <c r="H89" s="195"/>
      <c r="I89" s="195"/>
      <c r="J89" s="195"/>
    </row>
    <row r="90" spans="1:10" s="14" customFormat="1" ht="19.149999999999999" customHeight="1" x14ac:dyDescent="0.25">
      <c r="A90" s="59" t="s">
        <v>117</v>
      </c>
      <c r="B90" s="58" t="s">
        <v>118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119</v>
      </c>
      <c r="H90" s="59" t="s">
        <v>6</v>
      </c>
      <c r="I90" s="59" t="s">
        <v>7</v>
      </c>
      <c r="J90" s="64" t="s">
        <v>18</v>
      </c>
    </row>
    <row r="91" spans="1:10" x14ac:dyDescent="0.25">
      <c r="A91" s="42" t="s">
        <v>33</v>
      </c>
      <c r="B91" s="38" t="s">
        <v>176</v>
      </c>
      <c r="C91" s="38" t="s">
        <v>197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198</v>
      </c>
    </row>
    <row r="92" spans="1:10" x14ac:dyDescent="0.25">
      <c r="A92" s="42" t="s">
        <v>77</v>
      </c>
      <c r="B92" s="38" t="s">
        <v>199</v>
      </c>
      <c r="C92" s="38" t="s">
        <v>200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 spans="1:10" x14ac:dyDescent="0.3">
      <c r="A93" s="42" t="s">
        <v>64</v>
      </c>
      <c r="B93" s="41" t="s">
        <v>201</v>
      </c>
      <c r="C93" s="43" t="s">
        <v>202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pans="1:10" s="14" customFormat="1" ht="21.2" customHeight="1" x14ac:dyDescent="0.3">
      <c r="A94" s="42" t="s">
        <v>64</v>
      </c>
      <c r="B94" s="41" t="s">
        <v>203</v>
      </c>
      <c r="C94" s="43" t="s">
        <v>204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205</v>
      </c>
    </row>
    <row r="95" spans="1:10" ht="17.25" x14ac:dyDescent="0.3">
      <c r="A95" s="42" t="s">
        <v>33</v>
      </c>
      <c r="B95" s="41" t="s">
        <v>176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206</v>
      </c>
    </row>
    <row r="96" spans="1:10" x14ac:dyDescent="0.3">
      <c r="A96" s="41" t="s">
        <v>74</v>
      </c>
      <c r="B96" s="42" t="s">
        <v>148</v>
      </c>
      <c r="C96" s="43" t="s">
        <v>207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spans="1:10" ht="17.25" x14ac:dyDescent="0.3">
      <c r="A97" s="41" t="s">
        <v>76</v>
      </c>
      <c r="B97" s="41" t="s">
        <v>208</v>
      </c>
      <c r="C97" s="43" t="s">
        <v>209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206</v>
      </c>
    </row>
    <row r="98" spans="1:10" ht="17.25" x14ac:dyDescent="0.3">
      <c r="A98" s="42" t="s">
        <v>75</v>
      </c>
      <c r="B98" s="41" t="s">
        <v>210</v>
      </c>
      <c r="C98" s="43" t="s">
        <v>211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pans="1:10" s="14" customFormat="1" ht="31.7" customHeight="1" x14ac:dyDescent="0.35">
      <c r="A99" s="60" t="s">
        <v>77</v>
      </c>
      <c r="B99" s="48" t="s">
        <v>212</v>
      </c>
      <c r="C99" s="48" t="s">
        <v>213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spans="1:10" ht="18" x14ac:dyDescent="0.35">
      <c r="A100" s="60" t="s">
        <v>75</v>
      </c>
      <c r="B100" s="44" t="s">
        <v>214</v>
      </c>
      <c r="C100" s="44" t="s">
        <v>215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spans="1:10" ht="18.75" x14ac:dyDescent="0.25">
      <c r="A101" s="71" t="s">
        <v>8</v>
      </c>
      <c r="B101" s="44"/>
      <c r="C101" s="44"/>
      <c r="D101" s="55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216</v>
      </c>
    </row>
    <row r="102" spans="1:10" s="14" customFormat="1" ht="15.4" customHeight="1" x14ac:dyDescent="0.25">
      <c r="A102" s="48" t="s">
        <v>122</v>
      </c>
      <c r="B102" s="48"/>
      <c r="C102" s="48"/>
      <c r="D102" s="47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pans="1:10" s="14" customFormat="1" ht="19.149999999999999" customHeight="1" x14ac:dyDescent="0.25">
      <c r="A103" s="199"/>
      <c r="B103" s="195"/>
      <c r="C103" s="195"/>
      <c r="D103" s="195"/>
      <c r="E103" s="195"/>
      <c r="F103" s="195"/>
      <c r="G103" s="195"/>
      <c r="H103" s="195"/>
      <c r="I103" s="195"/>
      <c r="J103" s="195"/>
    </row>
    <row r="104" spans="1:10" s="14" customFormat="1" ht="19.149999999999999" customHeight="1" x14ac:dyDescent="0.25">
      <c r="A104" s="72" t="s">
        <v>217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x14ac:dyDescent="0.3">
      <c r="A105" s="59" t="s">
        <v>117</v>
      </c>
      <c r="B105" s="57" t="s">
        <v>118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119</v>
      </c>
      <c r="H105" s="59" t="s">
        <v>6</v>
      </c>
      <c r="I105" s="59" t="s">
        <v>7</v>
      </c>
      <c r="J105" s="64" t="s">
        <v>18</v>
      </c>
    </row>
    <row r="106" spans="1:10" ht="30" x14ac:dyDescent="0.3">
      <c r="A106" s="42" t="s">
        <v>80</v>
      </c>
      <c r="B106" s="41" t="s">
        <v>218</v>
      </c>
      <c r="C106" s="43" t="s">
        <v>219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 spans="1:10" x14ac:dyDescent="0.3">
      <c r="A107" s="42" t="s">
        <v>220</v>
      </c>
      <c r="B107" s="41" t="s">
        <v>221</v>
      </c>
      <c r="C107" s="43" t="s">
        <v>222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pans="1:10" s="14" customFormat="1" ht="31.7" customHeight="1" x14ac:dyDescent="0.3">
      <c r="A108" s="42" t="s">
        <v>35</v>
      </c>
      <c r="B108" s="41" t="s">
        <v>223</v>
      </c>
      <c r="C108" s="43" t="s">
        <v>224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spans="1:10" ht="21" x14ac:dyDescent="0.3">
      <c r="A109" s="60" t="s">
        <v>225</v>
      </c>
      <c r="B109" s="44" t="s">
        <v>199</v>
      </c>
      <c r="C109" s="44" t="s">
        <v>226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206</v>
      </c>
    </row>
    <row r="110" spans="1:10" ht="18.75" x14ac:dyDescent="0.25">
      <c r="A110" s="73" t="s">
        <v>228</v>
      </c>
      <c r="B110" s="44" t="s">
        <v>279</v>
      </c>
      <c r="C110" s="44" t="s">
        <v>227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 spans="1:10" x14ac:dyDescent="0.25">
      <c r="A111" s="127" t="s">
        <v>63</v>
      </c>
      <c r="B111" s="127" t="s">
        <v>280</v>
      </c>
      <c r="C111" s="127" t="s">
        <v>229</v>
      </c>
      <c r="D111" s="142">
        <v>3</v>
      </c>
      <c r="E111" s="142">
        <v>1</v>
      </c>
      <c r="F111" s="142">
        <v>2</v>
      </c>
      <c r="G111" s="142">
        <v>0</v>
      </c>
      <c r="H111" s="142">
        <v>0</v>
      </c>
      <c r="I111" s="142">
        <v>0</v>
      </c>
      <c r="J111" s="127"/>
    </row>
    <row r="112" spans="1:10" x14ac:dyDescent="0.25">
      <c r="A112" s="179" t="s">
        <v>69</v>
      </c>
      <c r="B112" s="179" t="s">
        <v>176</v>
      </c>
      <c r="C112" s="179" t="s">
        <v>177</v>
      </c>
      <c r="D112" s="180">
        <v>8</v>
      </c>
      <c r="E112" s="180">
        <v>2</v>
      </c>
      <c r="F112" s="180">
        <v>4</v>
      </c>
      <c r="G112" s="180">
        <v>1</v>
      </c>
      <c r="H112" s="180">
        <v>1</v>
      </c>
      <c r="I112" s="180">
        <v>0</v>
      </c>
      <c r="J112" s="179"/>
    </row>
    <row r="113" spans="1:10" x14ac:dyDescent="0.25">
      <c r="A113" s="181" t="s">
        <v>8</v>
      </c>
      <c r="B113" s="181"/>
      <c r="C113" s="181"/>
      <c r="D113" s="178">
        <f>SUM(D106:D112)</f>
        <v>30</v>
      </c>
      <c r="E113" s="178">
        <f>SUM(E106:E112)</f>
        <v>8</v>
      </c>
      <c r="F113" s="178">
        <f>SUM(F106:F112)</f>
        <v>15</v>
      </c>
      <c r="G113" s="178">
        <f>SUM(G106:G112)</f>
        <v>2</v>
      </c>
      <c r="H113" s="178">
        <f>SUM(H106:H112)</f>
        <v>3</v>
      </c>
      <c r="I113" s="178">
        <f>SUM(I106:I112)</f>
        <v>2</v>
      </c>
      <c r="J113" s="181" t="s">
        <v>281</v>
      </c>
    </row>
    <row r="114" spans="1:10" x14ac:dyDescent="0.25">
      <c r="A114" s="182" t="s">
        <v>122</v>
      </c>
      <c r="B114" s="182"/>
      <c r="C114" s="182"/>
      <c r="D114" s="183">
        <f>IF($D$113=0,0,D113/$D$113)</f>
        <v>1</v>
      </c>
      <c r="E114" s="183">
        <f>IF($D$113=0,0,E113/$D$113)</f>
        <v>0.26666666666666666</v>
      </c>
      <c r="F114" s="183">
        <f>IF($D$113=0,0,F113/$D$113)</f>
        <v>0.5</v>
      </c>
      <c r="G114" s="183">
        <f>IF($D$113=0,0,G113/$D$113)</f>
        <v>6.6666666666666666E-2</v>
      </c>
      <c r="H114" s="183">
        <f>IF($D$113=0,0,H113/$D$113)</f>
        <v>0.1</v>
      </c>
      <c r="I114" s="183">
        <f>IF($D$113=0,0,I113/$D$113)</f>
        <v>6.6666666666666666E-2</v>
      </c>
      <c r="J114" s="184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skypcs226@naver.com</dc:creator>
  <dcterms:created xsi:type="dcterms:W3CDTF">2026-10-14T15:49:48Z</dcterms:created>
</cp:coreProperties>
</file>