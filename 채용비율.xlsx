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현재_통합_문서"/>
  <xr:revisionPtr revIDLastSave="0" documentId="8_{423C8E34-02DA-604D-916C-214055C3F543}" xr6:coauthVersionLast="47" xr6:coauthVersionMax="47" xr10:uidLastSave="{00000000-0000-0000-0000-000000000000}"/>
  <bookViews>
    <workbookView xWindow="12816" yWindow="204" windowWidth="16908" windowHeight="12156" firstSheet="2" activeTab="4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_xlnm._FilterDatabase" localSheetId="1" hidden="1">'2.각8개지부 현장점유율'!$A$2:$L$75</definedName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8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4" l="1"/>
  <c r="G21" i="4"/>
  <c r="F21" i="4"/>
  <c r="E21" i="4"/>
  <c r="D21" i="4"/>
  <c r="C21" i="4"/>
  <c r="F6" i="4"/>
  <c r="A6" i="4"/>
  <c r="F7" i="4"/>
  <c r="E6" i="4"/>
  <c r="E7" i="4"/>
  <c r="D6" i="4"/>
  <c r="D7" i="4"/>
  <c r="C6" i="4"/>
  <c r="C7" i="4"/>
  <c r="B6" i="4"/>
  <c r="B7" i="4"/>
  <c r="I24" i="3"/>
  <c r="J24" i="3"/>
  <c r="K75" i="2"/>
  <c r="K6" i="2"/>
  <c r="J6" i="2"/>
  <c r="I6" i="2"/>
  <c r="H6" i="2"/>
  <c r="G6" i="2"/>
  <c r="F6" i="2"/>
  <c r="E6" i="2"/>
  <c r="G4" i="1"/>
  <c r="F4" i="1"/>
  <c r="E4" i="1"/>
  <c r="D4" i="1"/>
  <c r="C4" i="1"/>
  <c r="B4" i="1"/>
  <c r="D108" i="5"/>
  <c r="I108" i="5"/>
  <c r="I109" i="5"/>
  <c r="H108" i="5"/>
  <c r="H109" i="5"/>
  <c r="G108" i="5"/>
  <c r="G109" i="5"/>
  <c r="F108" i="5"/>
  <c r="F109" i="5"/>
  <c r="E108" i="5"/>
  <c r="E109" i="5"/>
  <c r="D109" i="5"/>
  <c r="J108" i="5"/>
  <c r="D99" i="5"/>
  <c r="I99" i="5"/>
  <c r="I100" i="5"/>
  <c r="H99" i="5"/>
  <c r="H100" i="5"/>
  <c r="G99" i="5"/>
  <c r="G100" i="5"/>
  <c r="F99" i="5"/>
  <c r="F100" i="5"/>
  <c r="E99" i="5"/>
  <c r="E100" i="5"/>
  <c r="D100" i="5"/>
  <c r="J99" i="5"/>
  <c r="D85" i="5"/>
  <c r="I85" i="5"/>
  <c r="I86" i="5"/>
  <c r="H85" i="5"/>
  <c r="H86" i="5"/>
  <c r="G85" i="5"/>
  <c r="G86" i="5"/>
  <c r="F85" i="5"/>
  <c r="F86" i="5"/>
  <c r="E85" i="5"/>
  <c r="E86" i="5"/>
  <c r="D86" i="5"/>
  <c r="D72" i="5"/>
  <c r="I72" i="5"/>
  <c r="I73" i="5"/>
  <c r="H72" i="5"/>
  <c r="H73" i="5"/>
  <c r="G72" i="5"/>
  <c r="G73" i="5"/>
  <c r="F72" i="5"/>
  <c r="F73" i="5"/>
  <c r="E72" i="5"/>
  <c r="E73" i="5"/>
  <c r="D73" i="5"/>
  <c r="D64" i="5"/>
  <c r="I64" i="5"/>
  <c r="I65" i="5"/>
  <c r="H64" i="5"/>
  <c r="H65" i="5"/>
  <c r="G64" i="5"/>
  <c r="G65" i="5"/>
  <c r="F64" i="5"/>
  <c r="F65" i="5"/>
  <c r="E64" i="5"/>
  <c r="E65" i="5"/>
  <c r="D65" i="5"/>
  <c r="D47" i="5"/>
  <c r="I47" i="5"/>
  <c r="I48" i="5"/>
  <c r="H47" i="5"/>
  <c r="H48" i="5"/>
  <c r="G47" i="5"/>
  <c r="G48" i="5"/>
  <c r="F47" i="5"/>
  <c r="F48" i="5"/>
  <c r="E47" i="5"/>
  <c r="E48" i="5"/>
  <c r="D48" i="5"/>
  <c r="D38" i="5"/>
  <c r="I38" i="5"/>
  <c r="I39" i="5"/>
  <c r="H38" i="5"/>
  <c r="H39" i="5"/>
  <c r="G38" i="5"/>
  <c r="G39" i="5"/>
  <c r="F38" i="5"/>
  <c r="F39" i="5"/>
  <c r="E38" i="5"/>
  <c r="E39" i="5"/>
  <c r="D39" i="5"/>
  <c r="D27" i="5"/>
  <c r="I27" i="5"/>
  <c r="I28" i="5"/>
  <c r="H27" i="5"/>
  <c r="H28" i="5"/>
  <c r="G27" i="5"/>
  <c r="G28" i="5"/>
  <c r="F27" i="5"/>
  <c r="F28" i="5"/>
  <c r="E27" i="5"/>
  <c r="E28" i="5"/>
  <c r="D28" i="5"/>
  <c r="D16" i="5"/>
  <c r="I16" i="5"/>
  <c r="I17" i="5"/>
  <c r="H16" i="5"/>
  <c r="H17" i="5"/>
  <c r="G16" i="5"/>
  <c r="G17" i="5"/>
  <c r="F16" i="5"/>
  <c r="F17" i="5"/>
  <c r="E16" i="5"/>
  <c r="E17" i="5"/>
  <c r="D17" i="5"/>
  <c r="D8" i="5"/>
  <c r="I8" i="5"/>
  <c r="I9" i="5"/>
  <c r="H8" i="5"/>
  <c r="H9" i="5"/>
  <c r="G8" i="5"/>
  <c r="G9" i="5"/>
  <c r="F8" i="5"/>
  <c r="F9" i="5"/>
  <c r="E8" i="5"/>
  <c r="E9" i="5"/>
  <c r="D9" i="5"/>
</calcChain>
</file>

<file path=xl/sharedStrings.xml><?xml version="1.0" encoding="utf-8"?>
<sst xmlns="http://schemas.openxmlformats.org/spreadsheetml/2006/main" count="542" uniqueCount="256">
  <si>
    <t>1~10월 채용추이</t>
  </si>
  <si>
    <t>임대사</t>
  </si>
  <si>
    <t>원청사</t>
  </si>
  <si>
    <t>현장명</t>
  </si>
  <si>
    <t>총대수</t>
  </si>
  <si>
    <t>한노</t>
  </si>
  <si>
    <t>민노</t>
  </si>
  <si>
    <t>기타(건산섬유)</t>
  </si>
  <si>
    <t>직원</t>
  </si>
  <si>
    <t>미정</t>
  </si>
  <si>
    <t>비고</t>
  </si>
  <si>
    <t>(주)국영타워랜드</t>
  </si>
  <si>
    <t>현대건설(주)</t>
  </si>
  <si>
    <t>디에이치아델스타</t>
  </si>
  <si>
    <t>합계</t>
  </si>
  <si>
    <t>비율 (총대수=100%)</t>
  </si>
  <si>
    <t>2월 채용 현황</t>
  </si>
  <si>
    <t>주식회사 비엠케이</t>
  </si>
  <si>
    <t>에이치디씨현대산업개발(주)</t>
  </si>
  <si>
    <t>호현센트럴아이파크</t>
  </si>
  <si>
    <t>오투기계산업(주)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</si>
  <si>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</si>
  <si>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</si>
  <si>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</si>
  <si>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</si>
  <si>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</si>
  <si>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(주)우성건설기계</t>
  </si>
  <si>
    <t>(주)동원개발</t>
  </si>
  <si>
    <t>브레인시티비스타동원</t>
  </si>
  <si>
    <t>(주)한백산업</t>
  </si>
  <si>
    <t>디엘이앤씨(주)</t>
  </si>
  <si>
    <t>안양에버포레자연&amp;e편한세상</t>
  </si>
  <si>
    <t>(주)예림타워</t>
  </si>
  <si>
    <t>쌍용건설(주)</t>
  </si>
  <si>
    <t>더플래티넘파인애비뉴</t>
  </si>
  <si>
    <t>(주)우리기계산업</t>
  </si>
  <si>
    <t>강산건설(주)</t>
  </si>
  <si>
    <t>시화MTV 지하주차장</t>
  </si>
  <si>
    <t>(주)오성산업</t>
  </si>
  <si>
    <t>농심엔지니어링(주)</t>
  </si>
  <si>
    <t>안성 장계리 물류센터 신축현장</t>
  </si>
  <si>
    <t>주식회사 백산렌탈</t>
  </si>
  <si>
    <t>에이치엘디앤아이한라(주)</t>
  </si>
  <si>
    <t>복정역에피트</t>
  </si>
  <si>
    <t>4월 채용 현황</t>
  </si>
  <si>
    <t>(주)썬타워</t>
  </si>
  <si>
    <t>평택고덕A-56BL</t>
  </si>
  <si>
    <t>(주)동양타워엔지니어링</t>
  </si>
  <si>
    <t>에스지씨이앤씨(주)</t>
  </si>
  <si>
    <t>군포대야미A-2BL신혼희망타운</t>
  </si>
  <si>
    <t>정호개발주식회사</t>
  </si>
  <si>
    <t>삼성물산(주)</t>
  </si>
  <si>
    <t>안산 글로벌클라우드 센터</t>
  </si>
  <si>
    <t>주식회사 한산타워</t>
  </si>
  <si>
    <t>프로젝트 TIMBUKTU</t>
  </si>
  <si>
    <t>5월 채용 현황</t>
  </si>
  <si>
    <t>벽산중기산업주식회사</t>
  </si>
  <si>
    <t>주식회사 화성건기</t>
  </si>
  <si>
    <t>계룡건설산업(주)</t>
  </si>
  <si>
    <t>엘리프한신더휴수원C3블록</t>
  </si>
  <si>
    <t>주식회사월드타워</t>
  </si>
  <si>
    <t>한신공영(주)</t>
  </si>
  <si>
    <t>엘리프한신더휴수원D3블록</t>
  </si>
  <si>
    <t>6월 채용 현황</t>
  </si>
  <si>
    <t>(주)신화중공업</t>
  </si>
  <si>
    <t>주식회사 가람타워</t>
  </si>
  <si>
    <t>(주)보미건설</t>
  </si>
  <si>
    <t>더샘병원</t>
  </si>
  <si>
    <t>(주)야후건기</t>
  </si>
  <si>
    <t>두산건설(주)</t>
  </si>
  <si>
    <t>두산위브더센트럴수원</t>
  </si>
  <si>
    <t>주식회사 우정타워</t>
  </si>
  <si>
    <t>(주)그린시티건설</t>
  </si>
  <si>
    <t>의왕청계역시티프라디움하모니아</t>
  </si>
  <si>
    <t>에스엠스틸(주) 건설부문</t>
  </si>
  <si>
    <t>클러스터용인경남아너스빌</t>
  </si>
  <si>
    <t>(주)규람타워렌탈</t>
  </si>
  <si>
    <t>용인푸르지오원클러스터파크</t>
  </si>
  <si>
    <t>(주)태왕이앤씨</t>
  </si>
  <si>
    <t>과천주암C1블록</t>
  </si>
  <si>
    <t>국제산업렌탈(주)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</si>
  <si>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</si>
  <si>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</si>
  <si>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</si>
  <si>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</si>
  <si>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</si>
  <si>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</si>
  <si>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뉴월드타워 주식회사</t>
  </si>
  <si>
    <t>용인푸르지오클루센트</t>
  </si>
  <si>
    <t>㈜유건설 단종계약</t>
  </si>
  <si>
    <t>혜우이엔씨㈜</t>
  </si>
  <si>
    <t>관양동주상복합</t>
  </si>
  <si>
    <t>8월 채용 현황</t>
  </si>
  <si>
    <t>(주)타워링</t>
  </si>
  <si>
    <t>(주)대원타워렌탈</t>
  </si>
  <si>
    <t>대방산업개발(주)</t>
  </si>
  <si>
    <t>시흥거모지구대방엘리움더루체I</t>
  </si>
  <si>
    <t>라온건설(주)</t>
  </si>
  <si>
    <t>용인플랫폼시티라온프라이빗아르디에</t>
  </si>
  <si>
    <t>화성능동A-1BL공동주택</t>
  </si>
  <si>
    <t>9월 채용 현황</t>
  </si>
  <si>
    <t>미정 1대 (배정 미확정)</t>
  </si>
  <si>
    <t>(주)한진</t>
  </si>
  <si>
    <t>동부건설(주)</t>
  </si>
  <si>
    <t>용인클러스터 상생협력시설(기숙사 1차)</t>
  </si>
  <si>
    <t>미정 3대 (배정 미확정)</t>
  </si>
  <si>
    <t>우미건설(주)</t>
  </si>
  <si>
    <t>평택 고덕국제화계획지구 Abc-36BL 공동주택 신축공사</t>
  </si>
  <si>
    <t>미정 2대 (배정 미확정)</t>
  </si>
  <si>
    <t>(주)타워랜드</t>
  </si>
  <si>
    <t>용인덕성 AI데이터센터</t>
  </si>
  <si>
    <t>주식회사 삼진타워</t>
  </si>
  <si>
    <t>(주)서희건설</t>
  </si>
  <si>
    <t>화성비봉 지역주택조합 아파트 신축공사</t>
  </si>
  <si>
    <t>신우개발(주)</t>
  </si>
  <si>
    <t>기타(비고에 작성)</t>
  </si>
  <si>
    <t>수원 친환경 에너지 개선공사</t>
  </si>
  <si>
    <t>지에스건설(주)</t>
  </si>
  <si>
    <t>수지자이에디시온</t>
  </si>
  <si>
    <t>10월 채용 현황</t>
  </si>
  <si>
    <t>(주)남산공영</t>
  </si>
  <si>
    <t>(주)금강건기</t>
  </si>
  <si>
    <t>(주)모아주택산업, (주)로제비앙건설</t>
  </si>
  <si>
    <t>시흥거모 B-6BL 모아엘가&amp;대광로제비앙 공동주택 신축공사</t>
  </si>
  <si>
    <t>주식회사 필윅스</t>
  </si>
  <si>
    <t>(주)호반건설</t>
  </si>
  <si>
    <t>시흥시 거모지구 B-1블록 공동주택 신축공사</t>
  </si>
  <si>
    <t>이천 증포5지구 칸타빌 에듀파크 신축공사</t>
  </si>
  <si>
    <t>1.26년 전체 소속별 점유율 (통계제외 현장 제외)</t>
  </si>
  <si>
    <t>소속</t>
  </si>
  <si>
    <t>섬유</t>
  </si>
  <si>
    <t>건산</t>
  </si>
  <si>
    <t>비율</t>
  </si>
  <si>
    <t>전체</t>
  </si>
  <si>
    <t>100%</t>
  </si>
  <si>
    <t>2.경기지역본부 현장 점유율 현황</t>
  </si>
  <si>
    <t>지부</t>
  </si>
  <si>
    <t>타워회사</t>
  </si>
  <si>
    <t>특이사항</t>
  </si>
  <si>
    <t>북부</t>
  </si>
  <si>
    <t>복정동 한라건설</t>
  </si>
  <si>
    <t>성남동원건설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</si>
  <si>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</si>
  <si>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</si>
  <si>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</si>
  <si>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</si>
  <si>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</si>
  <si>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동탄2 대우건설(국영)</t>
  </si>
  <si>
    <t>동탄2 대우건설(동양)</t>
  </si>
  <si>
    <t>동탄2 한토</t>
  </si>
  <si>
    <t>평택브레인시티 동원</t>
  </si>
  <si>
    <t>평택고덕 대우건설(썬타워)</t>
  </si>
  <si>
    <t>평택고덕 대우건설(한산타워)</t>
  </si>
  <si>
    <t>화양지구 쌍용</t>
  </si>
  <si>
    <t>안성농심</t>
  </si>
  <si>
    <t>안성건영</t>
  </si>
  <si>
    <t>(주)중앙티씨렌탈</t>
  </si>
  <si>
    <t>화성동탄 c-27블럭</t>
  </si>
  <si>
    <t>63블럭 금호</t>
  </si>
  <si>
    <t>탑랜드</t>
  </si>
  <si>
    <t>평택고덕 금호건설 64bl</t>
  </si>
  <si>
    <t>남부지부 소계</t>
  </si>
  <si>
    <t>남서</t>
  </si>
  <si>
    <t>남양우미린</t>
  </si>
  <si>
    <t>오산세교2지구 M1블록 민간임대 주상복합 신축공사</t>
  </si>
  <si>
    <t>남서지부 소계</t>
  </si>
  <si>
    <t>동부</t>
  </si>
  <si>
    <t>이천한양</t>
  </si>
  <si>
    <t>주식회사 현성건설</t>
  </si>
  <si>
    <t>현성</t>
  </si>
  <si>
    <t>통계제외</t>
  </si>
  <si>
    <t>요진건설</t>
  </si>
  <si>
    <t>홍문2지구 공동주택</t>
  </si>
  <si>
    <t>동부지부 소계</t>
  </si>
  <si>
    <t>서부</t>
  </si>
  <si>
    <t>안산프로젝트팀부크(현대건설)</t>
  </si>
  <si>
    <t>주식회사 한불타워</t>
  </si>
  <si>
    <t>안산글로벌클라우드(삼성물산)</t>
  </si>
  <si>
    <t>하중지구 한신공영</t>
  </si>
  <si>
    <t>하중지구 양우건설</t>
  </si>
  <si>
    <t>(주)진성타워</t>
  </si>
  <si>
    <t>시흥거모지구 S-2BL,B-2BL(대방산업개발)</t>
  </si>
  <si>
    <t>배곧서울대학교병원</t>
  </si>
  <si>
    <t>시흥하중 A-1BL 공동주택 건설공사</t>
  </si>
  <si>
    <t>주식회사 필웍스</t>
  </si>
  <si>
    <t>서부지부 소계</t>
  </si>
  <si>
    <t>북서</t>
  </si>
  <si>
    <t>군포시 SGC건설</t>
  </si>
  <si>
    <t>관양동 DL이앤씨</t>
  </si>
  <si>
    <t>의왕청계 시티건설</t>
  </si>
  <si>
    <t>과천 태왕</t>
  </si>
  <si>
    <t>과천 주암동 디에이치 아델스타(현대건설)</t>
  </si>
  <si>
    <t>안양 샘병원</t>
  </si>
  <si>
    <t>안양 박달동 신안아파트 재건축(현대산업개발)</t>
  </si>
  <si>
    <t>안양역세권지구 재개발정비사업(현대산업개발)</t>
  </si>
  <si>
    <t>관양동 오피스텔 신축공사</t>
  </si>
  <si>
    <t>(주)유건설 (단종계약)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</si>
  <si>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</si>
  <si>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</si>
  <si>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</si>
  <si>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</si>
  <si>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</si>
  <si>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</si>
  <si>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</si>
  <si>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</si>
  <si>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(주)무기타워렌탈</t>
  </si>
  <si>
    <t>용인 라온프라이빗</t>
  </si>
  <si>
    <t>용인덕성 AI데이터센터 신축공사</t>
  </si>
  <si>
    <t>원철규(미정3)</t>
  </si>
  <si>
    <t>용인지부 소계</t>
  </si>
  <si>
    <t>중부</t>
  </si>
  <si>
    <t>당수동 한신</t>
  </si>
  <si>
    <t>당수동 한라</t>
  </si>
  <si>
    <t>당수동 계룡</t>
  </si>
  <si>
    <t>영화동 두산</t>
  </si>
  <si>
    <t>수원 친환경 에너지 개선공사 주기기 구매</t>
  </si>
  <si>
    <t>중부지부 소계</t>
  </si>
  <si>
    <t>3.타워(렌탈)사별 점유 현황 (통계제외 제외)</t>
  </si>
  <si>
    <t>타워사</t>
  </si>
  <si>
    <t>현장수</t>
  </si>
  <si>
    <t>기타</t>
  </si>
  <si>
    <t>한노점유율</t>
  </si>
  <si>
    <t>우리기계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</si>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</sst>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b/>
      <sz val="10"/>
      <name val="Noto Sans CJK SC"/>
      <family val="2"/>
    </font>
    <font>
      <b/>
      <sz val="10"/>
      <name val="Arial"/>
      <family val="2"/>
    </font>
    <font>
      <sz val="10"/>
      <name val="Noto Sans CJK SC"/>
      <family val="2"/>
    </font>
    <font>
      <sz val="10"/>
      <name val="Arial"/>
      <family val="2"/>
    </font>
    <font>
      <b/>
      <sz val="13"/>
      <color rgb="FFFFFFFF"/>
      <name val="Noto Sans CJK SC"/>
      <family val="3"/>
      <charset val="129"/>
    </font>
    <font>
      <i/>
      <sz val="10"/>
      <color rgb="FF999999"/>
      <name val="Arial"/>
      <family val="2"/>
    </font>
    <font>
      <i/>
      <sz val="10"/>
      <color rgb="FF999999"/>
      <name val="Noto Sans CJK SC"/>
      <family val="2"/>
    </font>
    <font>
      <sz val="10"/>
      <color rgb="FFB45309"/>
      <name val="Noto Sans CJK SC"/>
      <family val="2"/>
    </font>
    <font>
      <b/>
      <sz val="14"/>
      <color rgb="FFFFFFFF"/>
      <name val="Noto Sans CJK SC"/>
      <family val="3"/>
      <charset val="129"/>
    </font>
    <font>
      <sz val="10"/>
      <color rgb="FFFF0000"/>
      <name val="Arial"/>
      <family val="2"/>
    </font>
    <font>
      <b/>
      <sz val="16"/>
      <color rgb="FF1F497D"/>
      <name val="맑은 고딕"/>
      <family val="3"/>
      <charset val="129"/>
    </font>
    <font>
      <b/>
      <sz val="10"/>
      <color rgb="FF595959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595959"/>
      <name val="맑은 고딕"/>
      <family val="3"/>
      <charset val="129"/>
    </font>
    <font>
      <sz val="10"/>
      <name val="Noto Sans CJK SC"/>
      <family val="3"/>
      <charset val="129"/>
    </font>
    <font>
      <b/>
      <sz val="12"/>
      <color rgb="FFFFFFFF"/>
      <name val="맑은 고딕"/>
      <family val="3"/>
      <charset val="129"/>
    </font>
    <font>
      <b/>
      <sz val="11"/>
      <color rgb="FFFFFFFF"/>
      <name val="Noto Sans CJK SC"/>
      <family val="2"/>
    </font>
    <font>
      <b/>
      <sz val="11"/>
      <name val="Noto Sans CJK SC"/>
      <family val="2"/>
    </font>
    <font>
      <b/>
      <sz val="11"/>
      <color rgb="FF1F3864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sz val="9"/>
      <color rgb="FFC00000"/>
      <name val="Noto Sans CJK SC"/>
      <family val="2"/>
    </font>
    <font>
      <b/>
      <sz val="10"/>
      <color rgb="FFC00000"/>
      <name val="Noto Sans CJK SC"/>
      <family val="2"/>
    </font>
  </fonts>
  <fills count="23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9FAFB"/>
        <bgColor rgb="FFF9FAFB"/>
      </patternFill>
    </fill>
    <fill>
      <patternFill patternType="solid">
        <fgColor rgb="FFE9EDF4"/>
        <bgColor rgb="FFE9EDF4"/>
      </patternFill>
    </fill>
    <fill>
      <patternFill patternType="solid">
        <fgColor rgb="FF2F5597"/>
        <bgColor rgb="FF44546A"/>
      </patternFill>
    </fill>
    <fill>
      <patternFill patternType="solid">
        <fgColor rgb="FF44546A"/>
        <bgColor rgb="FF2F5597"/>
      </patternFill>
    </fill>
    <fill>
      <patternFill patternType="solid">
        <fgColor rgb="FFD9E1F2"/>
        <bgColor rgb="FFE4DFEC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EB9C"/>
      </patternFill>
    </fill>
  </fills>
  <borders count="9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</cellStyleXfs>
  <cellXfs count="89"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9" fillId="12" borderId="0" xfId="0" applyFont="1" applyFill="1" applyAlignment="1">
      <alignment horizontal="center" vertical="center"/>
    </xf>
    <xf numFmtId="3" fontId="20" fillId="13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left" vertical="center"/>
    </xf>
    <xf numFmtId="3" fontId="21" fillId="16" borderId="2" xfId="0" applyNumberFormat="1" applyFont="1" applyFill="1" applyBorder="1" applyAlignment="1">
      <alignment horizontal="center" vertical="center"/>
    </xf>
    <xf numFmtId="3" fontId="22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3" fontId="21" fillId="0" borderId="2" xfId="0" applyNumberFormat="1" applyFont="1" applyBorder="1" applyAlignment="1">
      <alignment horizontal="center" vertical="center"/>
    </xf>
    <xf numFmtId="3" fontId="22" fillId="0" borderId="2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1" fillId="17" borderId="3" xfId="0" applyFont="1" applyFill="1" applyBorder="1" applyAlignment="1"/>
    <xf numFmtId="0" fontId="21" fillId="17" borderId="3" xfId="0" applyFont="1" applyFill="1" applyBorder="1" applyAlignment="1">
      <alignment horizontal="center" vertical="center"/>
    </xf>
    <xf numFmtId="3" fontId="21" fillId="17" borderId="3" xfId="0" applyNumberFormat="1" applyFont="1" applyFill="1" applyBorder="1" applyAlignment="1">
      <alignment horizontal="center" vertical="center"/>
    </xf>
    <xf numFmtId="0" fontId="8" fillId="0" borderId="4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9" fontId="3" fillId="0" borderId="0" xfId="0" applyNumberFormat="1" applyFont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9" fontId="3" fillId="0" borderId="0" xfId="0" applyNumberFormat="1" applyFont="1" applyAlignment="1">
      <alignment horizontal="center" vertical="center"/>
    </xf>
    <xf numFmtId="0" fontId="26" fillId="19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center" vertical="center"/>
    </xf>
    <xf numFmtId="0" fontId="0" fillId="0" borderId="4" xfId="0" applyBorder="1" applyAlignment="1"/>
    <xf numFmtId="1" fontId="20" fillId="20" borderId="4" xfId="0" applyNumberFormat="1" applyFont="1" applyFill="1" applyBorder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0" fontId="0" fillId="21" borderId="4" xfId="0" applyFill="1" applyBorder="1" applyAlignment="1">
      <alignment horizontal="center" vertical="center"/>
    </xf>
    <xf numFmtId="0" fontId="29" fillId="22" borderId="4" xfId="0" applyFont="1" applyFill="1" applyBorder="1" applyAlignment="1">
      <alignment horizontal="center" vertical="center"/>
    </xf>
    <xf numFmtId="0" fontId="30" fillId="0" borderId="4" xfId="0" applyFont="1" applyBorder="1" applyAlignment="1"/>
    <xf numFmtId="0" fontId="31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27" fillId="21" borderId="4" xfId="0" applyFont="1" applyFill="1" applyBorder="1" applyAlignment="1">
      <alignment horizontal="center" vertical="center"/>
    </xf>
    <xf numFmtId="0" fontId="25" fillId="18" borderId="0" xfId="0" applyFont="1" applyFill="1" applyAlignment="1">
      <alignment vertical="center" indent="1"/>
    </xf>
    <xf numFmtId="0" fontId="27" fillId="20" borderId="4" xfId="0" applyFont="1" applyFill="1" applyBorder="1" applyAlignment="1">
      <alignment horizontal="center" vertical="center"/>
    </xf>
    <xf numFmtId="176" fontId="9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Alignment="1">
      <alignment vertical="center"/>
    </xf>
    <xf numFmtId="176" fontId="15" fillId="9" borderId="1" xfId="0" applyNumberFormat="1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76" fontId="9" fillId="0" borderId="1" xfId="0" applyNumberFormat="1" applyFont="1" applyBorder="1" applyAlignment="1">
      <alignment horizontal="center" vertical="center" wrapText="1"/>
    </xf>
    <xf numFmtId="176" fontId="0" fillId="0" borderId="0" xfId="0" applyNumberFormat="1" applyAlignment="1"/>
    <xf numFmtId="176" fontId="22" fillId="14" borderId="0" xfId="0" applyNumberFormat="1" applyFont="1" applyFill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176" fontId="28" fillId="21" borderId="4" xfId="0" applyNumberFormat="1" applyFont="1" applyFill="1" applyBorder="1" applyAlignment="1">
      <alignment horizontal="center" vertical="center"/>
    </xf>
    <xf numFmtId="176" fontId="6" fillId="10" borderId="1" xfId="0" applyNumberFormat="1" applyFont="1" applyFill="1" applyBorder="1" applyAlignment="1">
      <alignment horizontal="center" vertical="center" wrapText="1"/>
    </xf>
    <xf numFmtId="176" fontId="20" fillId="20" borderId="4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left" vertical="center"/>
    </xf>
    <xf numFmtId="0" fontId="0" fillId="0" borderId="7" xfId="0" applyBorder="1" applyAlignment="1"/>
    <xf numFmtId="0" fontId="0" fillId="0" borderId="8" xfId="0" applyBorder="1" applyAlignment="1"/>
    <xf numFmtId="0" fontId="25" fillId="18" borderId="0" xfId="0" applyFont="1" applyFill="1" applyAlignment="1">
      <alignment vertical="center" indent="1"/>
    </xf>
    <xf numFmtId="0" fontId="0" fillId="0" borderId="0" xfId="0" applyAlignment="1"/>
    <xf numFmtId="0" fontId="26" fillId="19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27" fillId="20" borderId="4" xfId="0" applyFont="1" applyFill="1" applyBorder="1" applyAlignment="1">
      <alignment horizontal="center" vertical="center"/>
    </xf>
    <xf numFmtId="0" fontId="27" fillId="21" borderId="4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14" fillId="2" borderId="0" xfId="0" applyFont="1" applyFill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16" fillId="0" borderId="0" xfId="0" applyFont="1" applyAlignment="1">
      <alignment horizontal="center" vertical="center"/>
    </xf>
    <xf numFmtId="0" fontId="18" fillId="0" borderId="0" xfId="0" applyFont="1" applyAlignment="1"/>
    <xf numFmtId="0" fontId="17" fillId="0" borderId="0" xfId="0" applyFont="1" applyAlignment="1">
      <alignment horizontal="left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workbookViewId="0">
      <selection activeCell="J22" sqref="J22"/>
    </sheetView>
  </sheetViews>
  <sheetFormatPr defaultRowHeight="16.5" x14ac:dyDescent="0.25"/>
  <sheetData>
    <row r="1" spans="1:9" x14ac:dyDescent="0.25">
      <c r="A1" s="81" t="s">
        <v>128</v>
      </c>
      <c r="B1" s="82"/>
      <c r="C1" s="82"/>
      <c r="D1" s="82"/>
      <c r="E1" s="82"/>
      <c r="F1" s="82"/>
      <c r="G1" s="82"/>
      <c r="H1" s="82"/>
    </row>
    <row r="2" spans="1:9" x14ac:dyDescent="0.3">
      <c r="A2" s="1" t="s">
        <v>129</v>
      </c>
      <c r="B2" s="2" t="s">
        <v>5</v>
      </c>
      <c r="C2" s="3" t="s">
        <v>6</v>
      </c>
      <c r="D2" s="4" t="s">
        <v>130</v>
      </c>
      <c r="E2" s="5" t="s">
        <v>131</v>
      </c>
      <c r="F2" s="6" t="s">
        <v>8</v>
      </c>
      <c r="G2" s="16" t="s">
        <v>9</v>
      </c>
      <c r="H2" s="1" t="s">
        <v>14</v>
      </c>
      <c r="I2" s="1" t="s">
        <v>132</v>
      </c>
    </row>
    <row r="3" spans="1:9" x14ac:dyDescent="0.3">
      <c r="A3" s="8" t="s">
        <v>133</v>
      </c>
      <c r="B3" s="9">
        <v>61</v>
      </c>
      <c r="C3" s="9">
        <v>89</v>
      </c>
      <c r="D3" s="9">
        <v>7</v>
      </c>
      <c r="E3" s="9">
        <v>8</v>
      </c>
      <c r="F3" s="9">
        <v>36</v>
      </c>
      <c r="G3" s="9">
        <v>12</v>
      </c>
      <c r="H3" s="9">
        <v>213</v>
      </c>
      <c r="I3" s="9" t="s">
        <v>134</v>
      </c>
    </row>
    <row r="4" spans="1:9" x14ac:dyDescent="0.3">
      <c r="A4" s="10" t="s">
        <v>132</v>
      </c>
      <c r="B4" s="60">
        <f>B3/H3</f>
        <v>0.28638497652582162</v>
      </c>
      <c r="C4" s="60">
        <f>C3/H3</f>
        <v>0.41784037558685444</v>
      </c>
      <c r="D4" s="60">
        <f>D3/$H$3</f>
        <v>3.2863849765258218E-2</v>
      </c>
      <c r="E4" s="60">
        <f>E3/$H$3</f>
        <v>3.7558685446009391E-2</v>
      </c>
      <c r="F4" s="60">
        <f>F3/$H$3</f>
        <v>0.16901408450704225</v>
      </c>
      <c r="G4" s="60">
        <f>G3/$H$3</f>
        <v>5.6338028169014086E-2</v>
      </c>
    </row>
    <row r="9" spans="1:9" ht="26.45" customHeight="1" x14ac:dyDescent="0.25"/>
    <row r="10" spans="1:9" ht="26.45" customHeight="1" x14ac:dyDescent="0.25"/>
    <row r="11" spans="1:9" ht="105.6" customHeight="1" x14ac:dyDescent="0.25"/>
    <row r="12" spans="1:9" ht="26.45" customHeight="1" x14ac:dyDescent="0.25"/>
    <row r="14" spans="1:9" ht="26.45" customHeight="1" x14ac:dyDescent="0.25"/>
    <row r="15" spans="1:9" ht="39.6" customHeight="1" x14ac:dyDescent="0.25"/>
    <row r="16" spans="1:9" ht="39.6" customHeight="1" x14ac:dyDescent="0.25"/>
    <row r="17" spans="13:13" ht="26.45" customHeight="1" x14ac:dyDescent="0.25"/>
    <row r="18" spans="13:13" ht="39.6" customHeight="1" x14ac:dyDescent="0.25"/>
    <row r="19" spans="13:13" ht="39.6" customHeight="1" x14ac:dyDescent="0.25"/>
    <row r="20" spans="13:13" ht="39.6" customHeight="1" x14ac:dyDescent="0.25"/>
    <row r="21" spans="13:13" ht="26.45" customHeight="1" x14ac:dyDescent="0.25"/>
    <row r="22" spans="13:13" ht="26.45" customHeight="1" x14ac:dyDescent="0.25"/>
    <row r="23" spans="13:13" ht="26.45" customHeight="1" x14ac:dyDescent="0.25"/>
    <row r="24" spans="13:13" ht="26.45" customHeight="1" x14ac:dyDescent="0.25"/>
    <row r="25" spans="13:13" ht="26.45" customHeight="1" x14ac:dyDescent="0.25"/>
    <row r="26" spans="13:13" ht="39.6" customHeight="1" x14ac:dyDescent="0.25"/>
    <row r="27" spans="13:13" ht="79.150000000000006" customHeight="1" x14ac:dyDescent="0.25"/>
    <row r="28" spans="13:13" ht="26.45" customHeight="1" x14ac:dyDescent="0.25"/>
    <row r="29" spans="13:13" x14ac:dyDescent="0.25">
      <c r="M29" s="61"/>
    </row>
    <row r="30" spans="13:13" ht="39.6" customHeight="1" x14ac:dyDescent="0.25"/>
    <row r="31" spans="13:13" ht="66" customHeight="1" x14ac:dyDescent="0.25"/>
    <row r="32" spans="13:13" ht="26.45" customHeight="1" x14ac:dyDescent="0.25"/>
    <row r="34" ht="26.45" customHeight="1" x14ac:dyDescent="0.25"/>
    <row r="35" ht="26.45" customHeight="1" x14ac:dyDescent="0.25"/>
    <row r="36" ht="26.45" customHeight="1" x14ac:dyDescent="0.25"/>
    <row r="37" ht="26.45" customHeight="1" x14ac:dyDescent="0.25"/>
    <row r="38" ht="26.45" customHeight="1" x14ac:dyDescent="0.25"/>
    <row r="39" ht="52.9" customHeight="1" x14ac:dyDescent="0.25"/>
    <row r="40" ht="52.9" customHeight="1" x14ac:dyDescent="0.25"/>
    <row r="41" ht="26.45" customHeight="1" x14ac:dyDescent="0.25"/>
    <row r="42" ht="26.45" customHeight="1" x14ac:dyDescent="0.25"/>
    <row r="43" ht="66" customHeight="1" x14ac:dyDescent="0.25"/>
    <row r="44" ht="39.6" customHeight="1" x14ac:dyDescent="0.25"/>
    <row r="45" ht="52.9" customHeight="1" x14ac:dyDescent="0.25"/>
    <row r="46" ht="26.45" customHeight="1" x14ac:dyDescent="0.25"/>
    <row r="47" ht="26.45" customHeight="1" x14ac:dyDescent="0.25"/>
    <row r="48" ht="26.45" customHeight="1" x14ac:dyDescent="0.25"/>
    <row r="49" ht="26.45" customHeight="1" x14ac:dyDescent="0.25"/>
    <row r="50" ht="26.45" customHeight="1" x14ac:dyDescent="0.25"/>
    <row r="51" ht="26.45" customHeight="1" x14ac:dyDescent="0.25"/>
    <row r="52" ht="66" customHeight="1" x14ac:dyDescent="0.25"/>
    <row r="53" ht="26.45" customHeight="1" x14ac:dyDescent="0.25"/>
    <row r="54" ht="66" customHeight="1" x14ac:dyDescent="0.25"/>
    <row r="55" ht="66" customHeight="1" x14ac:dyDescent="0.25"/>
    <row r="56" ht="26.45" customHeight="1" x14ac:dyDescent="0.25"/>
    <row r="57" ht="26.45" customHeight="1" x14ac:dyDescent="0.25"/>
    <row r="58" ht="39.6" customHeight="1" x14ac:dyDescent="0.25"/>
    <row r="59" ht="39.6" customHeight="1" x14ac:dyDescent="0.25"/>
    <row r="60" ht="52.9" customHeight="1" x14ac:dyDescent="0.25"/>
    <row r="61" ht="26.45" customHeight="1" x14ac:dyDescent="0.25"/>
    <row r="62" ht="39.6" customHeight="1" x14ac:dyDescent="0.25"/>
    <row r="63" ht="39.6" customHeight="1" x14ac:dyDescent="0.25"/>
    <row r="64" ht="39.6" customHeight="1" x14ac:dyDescent="0.25"/>
    <row r="65" ht="26.45" customHeight="1" x14ac:dyDescent="0.25"/>
    <row r="66" ht="52.9" customHeight="1" x14ac:dyDescent="0.25"/>
    <row r="67" ht="66" customHeight="1" x14ac:dyDescent="0.25"/>
    <row r="68" ht="26.45" customHeight="1" x14ac:dyDescent="0.25"/>
    <row r="69" ht="26.45" customHeight="1" x14ac:dyDescent="0.25"/>
    <row r="70" ht="26.45" customHeight="1" x14ac:dyDescent="0.25"/>
    <row r="71" ht="39.6" customHeight="1" x14ac:dyDescent="0.25"/>
    <row r="72" ht="26.45" customHeight="1" x14ac:dyDescent="0.25"/>
    <row r="73" ht="26.45" customHeight="1" x14ac:dyDescent="0.25"/>
    <row r="74" ht="66" customHeight="1" x14ac:dyDescent="0.25"/>
    <row r="75" ht="26.45" customHeight="1" x14ac:dyDescent="0.25"/>
    <row r="76" ht="26.45" customHeight="1" x14ac:dyDescent="0.25"/>
    <row r="82" ht="26.45" customHeight="1" x14ac:dyDescent="0.25"/>
    <row r="83" ht="26.45" customHeight="1" x14ac:dyDescent="0.25"/>
    <row r="84" ht="39.6" customHeight="1" x14ac:dyDescent="0.25"/>
    <row r="85" ht="26.45" customHeight="1" x14ac:dyDescent="0.25"/>
    <row r="86" ht="26.45" customHeight="1" x14ac:dyDescent="0.25"/>
    <row r="87" ht="26.45" customHeight="1" x14ac:dyDescent="0.25"/>
    <row r="88" ht="26.45" customHeight="1" x14ac:dyDescent="0.25"/>
    <row r="89" ht="26.45" customHeight="1" x14ac:dyDescent="0.25"/>
    <row r="90" ht="26.45" customHeight="1" x14ac:dyDescent="0.25"/>
    <row r="91" ht="26.45" customHeight="1" x14ac:dyDescent="0.25"/>
    <row r="92" ht="26.45" customHeight="1" x14ac:dyDescent="0.25"/>
    <row r="93" ht="26.45" customHeight="1" x14ac:dyDescent="0.25"/>
    <row r="94" ht="39.6" customHeight="1" x14ac:dyDescent="0.25"/>
    <row r="95" ht="26.45" customHeight="1" x14ac:dyDescent="0.25"/>
    <row r="96" ht="26.45" customHeight="1" x14ac:dyDescent="0.25"/>
    <row r="97" ht="26.45" customHeight="1" x14ac:dyDescent="0.25"/>
    <row r="98" ht="26.45" customHeight="1" x14ac:dyDescent="0.25"/>
    <row r="99" ht="26.45" customHeight="1" x14ac:dyDescent="0.25"/>
    <row r="100" ht="26.45" customHeight="1" x14ac:dyDescent="0.25"/>
    <row r="101" ht="26.45" customHeight="1" x14ac:dyDescent="0.25"/>
    <row r="102" ht="26.45" customHeight="1" x14ac:dyDescent="0.25"/>
    <row r="103" ht="26.45" customHeight="1" x14ac:dyDescent="0.25"/>
    <row r="104" ht="39.6" customHeight="1" x14ac:dyDescent="0.25"/>
    <row r="105" ht="26.45" customHeight="1" x14ac:dyDescent="0.25"/>
    <row r="106" ht="26.45" customHeight="1" x14ac:dyDescent="0.25"/>
    <row r="107" ht="26.45" customHeight="1" x14ac:dyDescent="0.25"/>
    <row r="108" ht="26.45" customHeight="1" x14ac:dyDescent="0.25"/>
    <row r="109" ht="26.45" customHeight="1" x14ac:dyDescent="0.25"/>
    <row r="110" ht="26.45" customHeight="1" x14ac:dyDescent="0.25"/>
    <row r="111" ht="26.45" customHeight="1" x14ac:dyDescent="0.25"/>
    <row r="112" ht="26.45" customHeight="1" x14ac:dyDescent="0.25"/>
    <row r="113" ht="26.45" customHeight="1" x14ac:dyDescent="0.25"/>
    <row r="114" ht="26.45" customHeight="1" x14ac:dyDescent="0.25"/>
    <row r="115" ht="26.45" customHeight="1" x14ac:dyDescent="0.25"/>
    <row r="116" ht="26.45" customHeight="1" x14ac:dyDescent="0.25"/>
    <row r="117" ht="26.45" customHeight="1" x14ac:dyDescent="0.25"/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6"/>
  <sheetViews>
    <sheetView workbookViewId="0">
      <selection activeCell="E75" sqref="E75"/>
    </sheetView>
  </sheetViews>
  <sheetFormatPr defaultRowHeight="16.5" x14ac:dyDescent="0.25"/>
  <cols>
    <col min="1" max="1" width="8.16796875" style="56" bestFit="1" customWidth="1"/>
    <col min="2" max="2" width="53.2265625" style="56" bestFit="1" customWidth="1"/>
    <col min="3" max="3" width="14.9765625" style="56" bestFit="1" customWidth="1"/>
    <col min="5" max="6" width="6.0625" style="56" bestFit="1" customWidth="1"/>
    <col min="7" max="8" width="5.19921875" style="56" bestFit="1" customWidth="1"/>
    <col min="9" max="9" width="11.015625" style="56" bestFit="1" customWidth="1"/>
    <col min="10" max="10" width="6.0625" style="56" bestFit="1" customWidth="1"/>
    <col min="11" max="11" width="6.43359375" style="56" bestFit="1" customWidth="1"/>
  </cols>
  <sheetData>
    <row r="1" spans="1:12" x14ac:dyDescent="0.25">
      <c r="A1" s="83" t="s">
        <v>135</v>
      </c>
      <c r="B1" s="76"/>
      <c r="C1" s="76"/>
      <c r="D1" s="82"/>
      <c r="E1" s="76"/>
      <c r="F1" s="76"/>
      <c r="G1" s="76"/>
      <c r="H1" s="76"/>
      <c r="I1" s="76"/>
      <c r="J1" s="76"/>
      <c r="K1" s="76"/>
      <c r="L1" s="82"/>
    </row>
    <row r="2" spans="1:12" ht="30" x14ac:dyDescent="0.3">
      <c r="A2" s="1" t="s">
        <v>136</v>
      </c>
      <c r="B2" s="1" t="s">
        <v>3</v>
      </c>
      <c r="C2" s="1" t="s">
        <v>137</v>
      </c>
      <c r="D2" s="1" t="s">
        <v>138</v>
      </c>
      <c r="E2" s="2" t="s">
        <v>5</v>
      </c>
      <c r="F2" s="3" t="s">
        <v>6</v>
      </c>
      <c r="G2" s="4" t="s">
        <v>130</v>
      </c>
      <c r="H2" s="5" t="s">
        <v>131</v>
      </c>
      <c r="I2" s="6" t="s">
        <v>8</v>
      </c>
      <c r="J2" s="7" t="s">
        <v>9</v>
      </c>
      <c r="K2" s="1" t="s">
        <v>4</v>
      </c>
      <c r="L2" s="1" t="s">
        <v>10</v>
      </c>
    </row>
    <row r="3" spans="1:12" x14ac:dyDescent="0.3">
      <c r="A3" s="11" t="s">
        <v>139</v>
      </c>
      <c r="B3" s="11" t="s">
        <v>140</v>
      </c>
      <c r="C3" s="11" t="s">
        <v>41</v>
      </c>
      <c r="D3" s="11"/>
      <c r="E3" s="11">
        <v>1</v>
      </c>
      <c r="F3" s="11">
        <v>1</v>
      </c>
      <c r="G3" s="11">
        <v>0</v>
      </c>
      <c r="H3" s="11">
        <v>0</v>
      </c>
      <c r="I3" s="11">
        <v>0</v>
      </c>
      <c r="J3" s="11">
        <v>0</v>
      </c>
      <c r="K3" s="9">
        <v>2</v>
      </c>
      <c r="L3" s="13"/>
    </row>
    <row r="4" spans="1:12" x14ac:dyDescent="0.3">
      <c r="A4" s="11" t="s">
        <v>139</v>
      </c>
      <c r="B4" s="11" t="s">
        <v>141</v>
      </c>
      <c r="C4" s="11" t="s">
        <v>94</v>
      </c>
      <c r="D4" s="11"/>
      <c r="E4" s="11">
        <v>1</v>
      </c>
      <c r="F4" s="11">
        <v>1</v>
      </c>
      <c r="G4" s="11">
        <v>0</v>
      </c>
      <c r="H4" s="11">
        <v>0</v>
      </c>
      <c r="I4" s="11">
        <v>1</v>
      </c>
      <c r="J4" s="11">
        <v>0</v>
      </c>
      <c r="K4" s="9">
        <v>3</v>
      </c>
      <c r="L4" s="13"/>
    </row>
    <row r="5" spans="1:12" ht="26.45" customHeight="1" x14ac:dyDescent="0.3">
      <c r="A5" s="11" t="s">
        <v>139</v>
      </c>
      <c r="B5" s="11" t="s">
        <v>142</v>
      </c>
      <c r="C5" s="11" t="s">
        <v>94</v>
      </c>
      <c r="D5" s="11"/>
      <c r="E5" s="11">
        <v>1</v>
      </c>
      <c r="F5" s="11">
        <v>1</v>
      </c>
      <c r="G5" s="11">
        <v>0</v>
      </c>
      <c r="H5" s="11">
        <v>0</v>
      </c>
      <c r="I5" s="11">
        <v>1</v>
      </c>
      <c r="J5" s="11">
        <v>0</v>
      </c>
      <c r="K5" s="9">
        <v>3</v>
      </c>
      <c r="L5" s="55"/>
    </row>
    <row r="6" spans="1:12" ht="26.45" customHeight="1" x14ac:dyDescent="0.3">
      <c r="A6" s="14" t="s">
        <v>143</v>
      </c>
      <c r="B6" s="36"/>
      <c r="C6" s="36"/>
      <c r="D6" s="36"/>
      <c r="E6" s="14">
        <f>SUM(E3:E5)</f>
        <v>3</v>
      </c>
      <c r="F6" s="14">
        <f>SUM(F3:F5)</f>
        <v>3</v>
      </c>
      <c r="G6" s="14">
        <f>SUM(G3:G5)</f>
        <v>0</v>
      </c>
      <c r="H6" s="14">
        <f>SUM(H3:H5)</f>
        <v>0</v>
      </c>
      <c r="I6" s="14">
        <f>SUM(I3:I5)</f>
        <v>2</v>
      </c>
      <c r="J6" s="14">
        <f>SUM(J3:J5)</f>
        <v>0</v>
      </c>
      <c r="K6" s="14">
        <f>SUM(K3:K5)</f>
        <v>8</v>
      </c>
      <c r="L6" s="36"/>
    </row>
    <row r="7" spans="1:12" ht="31.15" customHeight="1" x14ac:dyDescent="0.3">
      <c r="A7" s="35" t="s">
        <v>144</v>
      </c>
      <c r="B7" s="55"/>
      <c r="C7" s="55"/>
      <c r="D7" s="55"/>
      <c r="E7" s="62">
        <v>0.375</v>
      </c>
      <c r="F7" s="62">
        <v>0.375</v>
      </c>
      <c r="G7" s="62">
        <v>0</v>
      </c>
      <c r="H7" s="62">
        <v>0</v>
      </c>
      <c r="I7" s="62">
        <v>0.25</v>
      </c>
      <c r="J7" s="62">
        <v>0</v>
      </c>
      <c r="K7" s="37">
        <v>1</v>
      </c>
      <c r="L7" s="55"/>
    </row>
    <row r="8" spans="1:12" x14ac:dyDescent="0.3">
      <c r="A8" s="11" t="s">
        <v>145</v>
      </c>
      <c r="B8" s="11" t="s">
        <v>146</v>
      </c>
      <c r="C8" s="11" t="s">
        <v>20</v>
      </c>
      <c r="D8" s="11"/>
      <c r="E8" s="11">
        <v>2</v>
      </c>
      <c r="F8" s="11">
        <v>4</v>
      </c>
      <c r="G8" s="11">
        <v>0</v>
      </c>
      <c r="H8" s="11">
        <v>0</v>
      </c>
      <c r="I8" s="11">
        <v>2</v>
      </c>
      <c r="J8" s="11">
        <v>0</v>
      </c>
      <c r="K8" s="9">
        <v>8</v>
      </c>
      <c r="L8" s="13"/>
    </row>
    <row r="9" spans="1:12" x14ac:dyDescent="0.3">
      <c r="A9" s="11" t="s">
        <v>145</v>
      </c>
      <c r="B9" s="11" t="s">
        <v>147</v>
      </c>
      <c r="C9" s="11" t="s">
        <v>11</v>
      </c>
      <c r="D9" s="11"/>
      <c r="E9" s="11">
        <v>2</v>
      </c>
      <c r="F9" s="11">
        <v>2</v>
      </c>
      <c r="G9" s="11">
        <v>1</v>
      </c>
      <c r="H9" s="11">
        <v>1</v>
      </c>
      <c r="I9" s="11">
        <v>0</v>
      </c>
      <c r="J9" s="11">
        <v>0</v>
      </c>
      <c r="K9" s="9">
        <v>6</v>
      </c>
      <c r="L9" s="13"/>
    </row>
    <row r="10" spans="1:12" ht="26.45" customHeight="1" x14ac:dyDescent="0.3">
      <c r="A10" s="11" t="s">
        <v>145</v>
      </c>
      <c r="B10" s="11" t="s">
        <v>148</v>
      </c>
      <c r="C10" s="11" t="s">
        <v>47</v>
      </c>
      <c r="D10" s="11"/>
      <c r="E10" s="11">
        <v>1</v>
      </c>
      <c r="F10" s="11">
        <v>2</v>
      </c>
      <c r="G10" s="11">
        <v>0</v>
      </c>
      <c r="H10" s="11">
        <v>1</v>
      </c>
      <c r="I10" s="11">
        <v>1</v>
      </c>
      <c r="J10" s="11">
        <v>0</v>
      </c>
      <c r="K10" s="9">
        <v>5</v>
      </c>
      <c r="L10" s="13"/>
    </row>
    <row r="11" spans="1:12" x14ac:dyDescent="0.3">
      <c r="A11" s="11" t="s">
        <v>145</v>
      </c>
      <c r="B11" s="11" t="s">
        <v>149</v>
      </c>
      <c r="C11" s="11" t="s">
        <v>80</v>
      </c>
      <c r="D11" s="11"/>
      <c r="E11" s="11">
        <v>1</v>
      </c>
      <c r="F11" s="11">
        <v>1</v>
      </c>
      <c r="G11" s="11">
        <v>0</v>
      </c>
      <c r="H11" s="11">
        <v>0</v>
      </c>
      <c r="I11" s="11">
        <v>1</v>
      </c>
      <c r="J11" s="11">
        <v>0</v>
      </c>
      <c r="K11" s="9">
        <v>3</v>
      </c>
      <c r="L11" s="13"/>
    </row>
    <row r="12" spans="1:12" x14ac:dyDescent="0.3">
      <c r="A12" s="11" t="s">
        <v>145</v>
      </c>
      <c r="B12" s="11" t="s">
        <v>150</v>
      </c>
      <c r="C12" s="11" t="s">
        <v>26</v>
      </c>
      <c r="D12" s="11"/>
      <c r="E12" s="11">
        <v>2</v>
      </c>
      <c r="F12" s="11">
        <v>3</v>
      </c>
      <c r="G12" s="11">
        <v>0</v>
      </c>
      <c r="H12" s="11">
        <v>0</v>
      </c>
      <c r="I12" s="11">
        <v>1</v>
      </c>
      <c r="J12" s="11">
        <v>0</v>
      </c>
      <c r="K12" s="9">
        <v>6</v>
      </c>
      <c r="L12" s="13"/>
    </row>
    <row r="13" spans="1:12" x14ac:dyDescent="0.3">
      <c r="A13" s="11" t="s">
        <v>145</v>
      </c>
      <c r="B13" s="11" t="s">
        <v>151</v>
      </c>
      <c r="C13" s="11" t="s">
        <v>45</v>
      </c>
      <c r="D13" s="11"/>
      <c r="E13" s="11">
        <v>1</v>
      </c>
      <c r="F13" s="11">
        <v>2</v>
      </c>
      <c r="G13" s="11">
        <v>0</v>
      </c>
      <c r="H13" s="11">
        <v>1</v>
      </c>
      <c r="I13" s="11">
        <v>0</v>
      </c>
      <c r="J13" s="11">
        <v>0</v>
      </c>
      <c r="K13" s="9">
        <v>4</v>
      </c>
      <c r="L13" s="13"/>
    </row>
    <row r="14" spans="1:12" x14ac:dyDescent="0.3">
      <c r="A14" s="11" t="s">
        <v>145</v>
      </c>
      <c r="B14" s="11" t="s">
        <v>152</v>
      </c>
      <c r="C14" s="11" t="s">
        <v>53</v>
      </c>
      <c r="D14" s="11"/>
      <c r="E14" s="11">
        <v>1</v>
      </c>
      <c r="F14" s="11">
        <v>2</v>
      </c>
      <c r="G14" s="11">
        <v>0</v>
      </c>
      <c r="H14" s="11">
        <v>0</v>
      </c>
      <c r="I14" s="11">
        <v>1</v>
      </c>
      <c r="J14" s="11">
        <v>0</v>
      </c>
      <c r="K14" s="9">
        <v>4</v>
      </c>
      <c r="L14" s="13"/>
    </row>
    <row r="15" spans="1:12" x14ac:dyDescent="0.3">
      <c r="A15" s="11" t="s">
        <v>145</v>
      </c>
      <c r="B15" s="11" t="s">
        <v>153</v>
      </c>
      <c r="C15" s="11" t="s">
        <v>32</v>
      </c>
      <c r="D15" s="11"/>
      <c r="E15" s="11">
        <v>2</v>
      </c>
      <c r="F15" s="11">
        <v>3</v>
      </c>
      <c r="G15" s="11">
        <v>1</v>
      </c>
      <c r="H15" s="11">
        <v>0</v>
      </c>
      <c r="I15" s="11">
        <v>1</v>
      </c>
      <c r="J15" s="11">
        <v>0</v>
      </c>
      <c r="K15" s="9">
        <v>7</v>
      </c>
      <c r="L15" s="13"/>
    </row>
    <row r="16" spans="1:12" x14ac:dyDescent="0.3">
      <c r="A16" s="11" t="s">
        <v>145</v>
      </c>
      <c r="B16" s="11" t="s">
        <v>154</v>
      </c>
      <c r="C16" s="11" t="s">
        <v>38</v>
      </c>
      <c r="D16" s="11"/>
      <c r="E16" s="11">
        <v>1</v>
      </c>
      <c r="F16" s="11">
        <v>2</v>
      </c>
      <c r="G16" s="11">
        <v>0</v>
      </c>
      <c r="H16" s="11">
        <v>0</v>
      </c>
      <c r="I16" s="11">
        <v>1</v>
      </c>
      <c r="J16" s="11">
        <v>0</v>
      </c>
      <c r="K16" s="9">
        <v>4</v>
      </c>
      <c r="L16" s="13"/>
    </row>
    <row r="17" spans="1:12" x14ac:dyDescent="0.3">
      <c r="A17" s="11" t="s">
        <v>145</v>
      </c>
      <c r="B17" s="11" t="s">
        <v>155</v>
      </c>
      <c r="C17" s="11" t="s">
        <v>156</v>
      </c>
      <c r="D17" s="11"/>
      <c r="E17" s="11">
        <v>0</v>
      </c>
      <c r="F17" s="11">
        <v>1</v>
      </c>
      <c r="G17" s="11">
        <v>0</v>
      </c>
      <c r="H17" s="11">
        <v>0</v>
      </c>
      <c r="I17" s="11">
        <v>1</v>
      </c>
      <c r="J17" s="11">
        <v>0</v>
      </c>
      <c r="K17" s="9">
        <v>2</v>
      </c>
      <c r="L17" s="13"/>
    </row>
    <row r="18" spans="1:12" x14ac:dyDescent="0.3">
      <c r="A18" s="11" t="s">
        <v>145</v>
      </c>
      <c r="B18" s="11" t="s">
        <v>157</v>
      </c>
      <c r="C18" s="11" t="s">
        <v>71</v>
      </c>
      <c r="D18" s="11"/>
      <c r="E18" s="11">
        <v>0</v>
      </c>
      <c r="F18" s="11">
        <v>2</v>
      </c>
      <c r="G18" s="11">
        <v>0</v>
      </c>
      <c r="H18" s="11">
        <v>1</v>
      </c>
      <c r="I18" s="11">
        <v>1</v>
      </c>
      <c r="J18" s="11">
        <v>0</v>
      </c>
      <c r="K18" s="9">
        <v>4</v>
      </c>
      <c r="L18" s="13"/>
    </row>
    <row r="19" spans="1:12" x14ac:dyDescent="0.3">
      <c r="A19" s="11" t="s">
        <v>145</v>
      </c>
      <c r="B19" s="38" t="s">
        <v>158</v>
      </c>
      <c r="C19" s="11" t="s">
        <v>159</v>
      </c>
      <c r="D19" s="11"/>
      <c r="E19" s="11">
        <v>1</v>
      </c>
      <c r="F19" s="11">
        <v>2</v>
      </c>
      <c r="G19" s="11">
        <v>0</v>
      </c>
      <c r="H19" s="11">
        <v>0</v>
      </c>
      <c r="I19" s="11">
        <v>1</v>
      </c>
      <c r="J19" s="11">
        <v>0</v>
      </c>
      <c r="K19" s="9">
        <v>4</v>
      </c>
      <c r="L19" s="13"/>
    </row>
    <row r="20" spans="1:12" x14ac:dyDescent="0.3">
      <c r="A20" s="11" t="s">
        <v>145</v>
      </c>
      <c r="B20" s="11" t="s">
        <v>160</v>
      </c>
      <c r="C20" s="11" t="s">
        <v>50</v>
      </c>
      <c r="D20" s="11"/>
      <c r="E20" s="11">
        <v>1</v>
      </c>
      <c r="F20" s="11">
        <v>2</v>
      </c>
      <c r="G20" s="11">
        <v>0</v>
      </c>
      <c r="H20" s="11">
        <v>0</v>
      </c>
      <c r="I20" s="11">
        <v>0</v>
      </c>
      <c r="J20" s="11">
        <v>0</v>
      </c>
      <c r="K20" s="9">
        <v>3</v>
      </c>
      <c r="L20" s="55"/>
    </row>
    <row r="21" spans="1:12" ht="26.45" customHeight="1" x14ac:dyDescent="0.3">
      <c r="A21" s="11" t="s">
        <v>145</v>
      </c>
      <c r="B21" s="11" t="s">
        <v>107</v>
      </c>
      <c r="C21" s="11" t="s">
        <v>47</v>
      </c>
      <c r="D21" s="11"/>
      <c r="E21" s="11">
        <v>2</v>
      </c>
      <c r="F21" s="11">
        <v>3</v>
      </c>
      <c r="G21" s="11">
        <v>0</v>
      </c>
      <c r="H21" s="11">
        <v>0</v>
      </c>
      <c r="I21" s="11">
        <v>0</v>
      </c>
      <c r="J21" s="11">
        <v>1</v>
      </c>
      <c r="K21" s="9">
        <v>6</v>
      </c>
      <c r="L21" s="55"/>
    </row>
    <row r="22" spans="1:12" ht="26.45" customHeight="1" x14ac:dyDescent="0.3">
      <c r="A22" s="14" t="s">
        <v>161</v>
      </c>
      <c r="B22" s="36"/>
      <c r="C22" s="36"/>
      <c r="D22" s="36"/>
      <c r="E22" s="14">
        <v>17</v>
      </c>
      <c r="F22" s="14">
        <v>31</v>
      </c>
      <c r="G22" s="14">
        <v>2</v>
      </c>
      <c r="H22" s="14">
        <v>4</v>
      </c>
      <c r="I22" s="14">
        <v>11</v>
      </c>
      <c r="J22" s="14">
        <v>1</v>
      </c>
      <c r="K22" s="14">
        <v>66</v>
      </c>
      <c r="L22" s="36"/>
    </row>
    <row r="23" spans="1:12" ht="31.15" customHeight="1" x14ac:dyDescent="0.3">
      <c r="A23" s="35" t="s">
        <v>144</v>
      </c>
      <c r="B23" s="55"/>
      <c r="C23" s="55"/>
      <c r="D23" s="55"/>
      <c r="E23" s="62">
        <v>0.25757575757575762</v>
      </c>
      <c r="F23" s="62">
        <v>0.46969696969696972</v>
      </c>
      <c r="G23" s="62">
        <v>3.03030303030303E-2</v>
      </c>
      <c r="H23" s="62">
        <v>6.0606060606060608E-2</v>
      </c>
      <c r="I23" s="62">
        <v>0.16666666666666671</v>
      </c>
      <c r="J23" s="62">
        <v>1.515151515151515E-2</v>
      </c>
      <c r="K23" s="37">
        <v>1</v>
      </c>
      <c r="L23" s="55"/>
    </row>
    <row r="24" spans="1:12" ht="26.45" customHeight="1" x14ac:dyDescent="0.3">
      <c r="A24" s="11" t="s">
        <v>162</v>
      </c>
      <c r="B24" s="11" t="s">
        <v>163</v>
      </c>
      <c r="C24" s="11" t="s">
        <v>87</v>
      </c>
      <c r="D24" s="11"/>
      <c r="E24" s="11">
        <v>1</v>
      </c>
      <c r="F24" s="11">
        <v>1</v>
      </c>
      <c r="G24" s="11">
        <v>0</v>
      </c>
      <c r="H24" s="11">
        <v>0</v>
      </c>
      <c r="I24" s="11">
        <v>1</v>
      </c>
      <c r="J24" s="11">
        <v>0</v>
      </c>
      <c r="K24" s="9">
        <v>3</v>
      </c>
      <c r="L24" s="13"/>
    </row>
    <row r="25" spans="1:12" x14ac:dyDescent="0.3">
      <c r="A25" s="11" t="s">
        <v>162</v>
      </c>
      <c r="B25" s="11" t="s">
        <v>113</v>
      </c>
      <c r="C25" s="11" t="s">
        <v>111</v>
      </c>
      <c r="D25" s="39"/>
      <c r="E25" s="11">
        <v>1</v>
      </c>
      <c r="F25" s="11">
        <v>1</v>
      </c>
      <c r="G25" s="11">
        <v>0</v>
      </c>
      <c r="H25" s="11">
        <v>0</v>
      </c>
      <c r="I25" s="11">
        <v>1</v>
      </c>
      <c r="J25" s="11">
        <v>2</v>
      </c>
      <c r="K25" s="9">
        <v>5</v>
      </c>
      <c r="L25" s="13"/>
    </row>
    <row r="26" spans="1:12" x14ac:dyDescent="0.25">
      <c r="A26" s="55" t="s">
        <v>162</v>
      </c>
      <c r="B26" s="55" t="s">
        <v>164</v>
      </c>
      <c r="C26" s="55" t="s">
        <v>120</v>
      </c>
      <c r="D26" s="55"/>
      <c r="E26" s="55">
        <v>1</v>
      </c>
      <c r="F26" s="55">
        <v>1</v>
      </c>
      <c r="G26" s="55">
        <v>0</v>
      </c>
      <c r="H26" s="55">
        <v>0</v>
      </c>
      <c r="I26" s="55">
        <v>0</v>
      </c>
      <c r="J26" s="55">
        <v>2</v>
      </c>
      <c r="K26" s="55">
        <v>4</v>
      </c>
      <c r="L26" s="55"/>
    </row>
    <row r="27" spans="1:12" ht="26.45" customHeight="1" x14ac:dyDescent="0.3">
      <c r="A27" s="14" t="s">
        <v>165</v>
      </c>
      <c r="B27" s="36"/>
      <c r="C27" s="36"/>
      <c r="D27" s="36"/>
      <c r="E27" s="14">
        <v>3</v>
      </c>
      <c r="F27" s="14">
        <v>3</v>
      </c>
      <c r="G27" s="14">
        <v>0</v>
      </c>
      <c r="H27" s="14">
        <v>0</v>
      </c>
      <c r="I27" s="14">
        <v>2</v>
      </c>
      <c r="J27" s="14">
        <v>4</v>
      </c>
      <c r="K27" s="14">
        <v>12</v>
      </c>
      <c r="L27" s="36"/>
    </row>
    <row r="28" spans="1:12" ht="31.15" customHeight="1" x14ac:dyDescent="0.3">
      <c r="A28" s="35" t="s">
        <v>144</v>
      </c>
      <c r="B28" s="55"/>
      <c r="C28" s="55"/>
      <c r="D28" s="55"/>
      <c r="E28" s="62">
        <v>0.25</v>
      </c>
      <c r="F28" s="62">
        <v>0.25</v>
      </c>
      <c r="G28" s="62">
        <v>0</v>
      </c>
      <c r="H28" s="62">
        <v>0</v>
      </c>
      <c r="I28" s="62">
        <v>0.16666666666666671</v>
      </c>
      <c r="J28" s="62">
        <v>0.33333333333333331</v>
      </c>
      <c r="K28" s="37">
        <v>1</v>
      </c>
      <c r="L28" s="55"/>
    </row>
    <row r="29" spans="1:12" ht="26.45" customHeight="1" x14ac:dyDescent="0.3">
      <c r="A29" s="15" t="s">
        <v>166</v>
      </c>
      <c r="B29" s="15" t="s">
        <v>167</v>
      </c>
      <c r="C29" s="15" t="s">
        <v>168</v>
      </c>
      <c r="D29" s="40" t="s">
        <v>169</v>
      </c>
      <c r="E29" s="13">
        <v>0</v>
      </c>
      <c r="F29" s="13">
        <v>2</v>
      </c>
      <c r="G29" s="13">
        <v>0</v>
      </c>
      <c r="H29" s="13">
        <v>0</v>
      </c>
      <c r="I29" s="13">
        <v>0</v>
      </c>
      <c r="J29" s="13">
        <v>2</v>
      </c>
      <c r="K29" s="9">
        <v>0</v>
      </c>
      <c r="L29" s="15" t="s">
        <v>170</v>
      </c>
    </row>
    <row r="30" spans="1:12" x14ac:dyDescent="0.3">
      <c r="A30" s="11" t="s">
        <v>166</v>
      </c>
      <c r="B30" s="11" t="s">
        <v>171</v>
      </c>
      <c r="C30" s="11" t="s">
        <v>53</v>
      </c>
      <c r="D30" s="11"/>
      <c r="E30" s="11">
        <v>1</v>
      </c>
      <c r="F30" s="11">
        <v>1</v>
      </c>
      <c r="G30" s="11">
        <v>0</v>
      </c>
      <c r="H30" s="11">
        <v>0</v>
      </c>
      <c r="I30" s="11">
        <v>0</v>
      </c>
      <c r="J30" s="11">
        <v>0</v>
      </c>
      <c r="K30" s="9">
        <v>2</v>
      </c>
      <c r="L30" s="13"/>
    </row>
    <row r="31" spans="1:12" x14ac:dyDescent="0.25">
      <c r="A31" s="55" t="s">
        <v>166</v>
      </c>
      <c r="B31" s="55" t="s">
        <v>172</v>
      </c>
      <c r="C31" s="55" t="s">
        <v>102</v>
      </c>
      <c r="D31" s="55"/>
      <c r="E31" s="55">
        <v>1</v>
      </c>
      <c r="F31" s="55">
        <v>1</v>
      </c>
      <c r="G31" s="55"/>
      <c r="H31" s="55"/>
      <c r="I31" s="55"/>
      <c r="J31" s="55">
        <v>2</v>
      </c>
      <c r="K31" s="55">
        <v>4</v>
      </c>
      <c r="L31" s="55"/>
    </row>
    <row r="32" spans="1:12" ht="26.45" customHeight="1" x14ac:dyDescent="0.25">
      <c r="A32" s="55" t="s">
        <v>166</v>
      </c>
      <c r="B32" s="55" t="s">
        <v>127</v>
      </c>
      <c r="C32" s="55" t="s">
        <v>80</v>
      </c>
      <c r="D32" s="55"/>
      <c r="E32" s="55">
        <v>1</v>
      </c>
      <c r="F32" s="55">
        <v>2</v>
      </c>
      <c r="G32" s="55">
        <v>0</v>
      </c>
      <c r="H32" s="55">
        <v>0</v>
      </c>
      <c r="I32" s="55">
        <v>0</v>
      </c>
      <c r="J32" s="55">
        <v>0</v>
      </c>
      <c r="K32" s="55">
        <v>3</v>
      </c>
      <c r="L32" s="55"/>
    </row>
    <row r="33" spans="1:12" ht="31.15" customHeight="1" x14ac:dyDescent="0.3">
      <c r="A33" s="14" t="s">
        <v>173</v>
      </c>
      <c r="B33" s="36"/>
      <c r="C33" s="36"/>
      <c r="D33" s="36"/>
      <c r="E33" s="14">
        <v>3</v>
      </c>
      <c r="F33" s="14">
        <v>4</v>
      </c>
      <c r="G33" s="14">
        <v>0</v>
      </c>
      <c r="H33" s="14">
        <v>0</v>
      </c>
      <c r="I33" s="14">
        <v>0</v>
      </c>
      <c r="J33" s="14">
        <v>2</v>
      </c>
      <c r="K33" s="14">
        <v>9</v>
      </c>
      <c r="L33" s="36"/>
    </row>
    <row r="34" spans="1:12" ht="30" x14ac:dyDescent="0.3">
      <c r="A34" s="14" t="s">
        <v>144</v>
      </c>
      <c r="B34" s="36"/>
      <c r="C34" s="36"/>
      <c r="D34" s="36"/>
      <c r="E34" s="70">
        <v>0.33333333333333331</v>
      </c>
      <c r="F34" s="70">
        <v>0.44444444444444442</v>
      </c>
      <c r="G34" s="70">
        <v>0</v>
      </c>
      <c r="H34" s="70">
        <v>0</v>
      </c>
      <c r="I34" s="70">
        <v>0</v>
      </c>
      <c r="J34" s="70">
        <v>0.22222222222222221</v>
      </c>
      <c r="K34" s="70">
        <v>1</v>
      </c>
      <c r="L34" s="36"/>
    </row>
    <row r="35" spans="1:12" x14ac:dyDescent="0.3">
      <c r="A35" s="11" t="s">
        <v>174</v>
      </c>
      <c r="B35" s="11" t="s">
        <v>175</v>
      </c>
      <c r="C35" s="11" t="s">
        <v>176</v>
      </c>
      <c r="D35" s="11"/>
      <c r="E35" s="11">
        <v>1</v>
      </c>
      <c r="F35" s="11">
        <v>1</v>
      </c>
      <c r="G35" s="11">
        <v>0</v>
      </c>
      <c r="H35" s="11">
        <v>0</v>
      </c>
      <c r="I35" s="11">
        <v>0</v>
      </c>
      <c r="J35" s="11">
        <v>0</v>
      </c>
      <c r="K35" s="9">
        <v>2</v>
      </c>
      <c r="L35" s="13"/>
    </row>
    <row r="36" spans="1:12" x14ac:dyDescent="0.3">
      <c r="A36" s="11" t="s">
        <v>174</v>
      </c>
      <c r="B36" s="11" t="s">
        <v>177</v>
      </c>
      <c r="C36" s="11" t="s">
        <v>50</v>
      </c>
      <c r="D36" s="11"/>
      <c r="E36" s="11">
        <v>1</v>
      </c>
      <c r="F36" s="11">
        <v>1</v>
      </c>
      <c r="G36" s="11">
        <v>0</v>
      </c>
      <c r="H36" s="11">
        <v>0</v>
      </c>
      <c r="I36" s="11">
        <v>0</v>
      </c>
      <c r="J36" s="11">
        <v>0</v>
      </c>
      <c r="K36" s="9">
        <v>2</v>
      </c>
      <c r="L36" s="13"/>
    </row>
    <row r="37" spans="1:12" x14ac:dyDescent="0.3">
      <c r="A37" s="11" t="s">
        <v>174</v>
      </c>
      <c r="B37" s="11" t="s">
        <v>178</v>
      </c>
      <c r="C37" s="11" t="s">
        <v>64</v>
      </c>
      <c r="D37" s="11"/>
      <c r="E37" s="11">
        <v>1</v>
      </c>
      <c r="F37" s="11">
        <v>1</v>
      </c>
      <c r="G37" s="11">
        <v>0</v>
      </c>
      <c r="H37" s="11">
        <v>0</v>
      </c>
      <c r="I37" s="11">
        <v>2</v>
      </c>
      <c r="J37" s="11">
        <v>0</v>
      </c>
      <c r="K37" s="9">
        <v>4</v>
      </c>
      <c r="L37" s="13"/>
    </row>
    <row r="38" spans="1:12" x14ac:dyDescent="0.3">
      <c r="A38" s="11" t="s">
        <v>174</v>
      </c>
      <c r="B38" s="11" t="s">
        <v>179</v>
      </c>
      <c r="C38" s="11" t="s">
        <v>180</v>
      </c>
      <c r="D38" s="40"/>
      <c r="E38" s="11">
        <v>0</v>
      </c>
      <c r="F38" s="11">
        <v>2</v>
      </c>
      <c r="G38" s="11">
        <v>0</v>
      </c>
      <c r="H38" s="11">
        <v>0</v>
      </c>
      <c r="I38" s="11">
        <v>1</v>
      </c>
      <c r="J38" s="11">
        <v>0</v>
      </c>
      <c r="K38" s="9">
        <v>3</v>
      </c>
      <c r="L38" s="13"/>
    </row>
    <row r="39" spans="1:12" x14ac:dyDescent="0.3">
      <c r="A39" s="11" t="s">
        <v>174</v>
      </c>
      <c r="B39" s="11" t="s">
        <v>181</v>
      </c>
      <c r="C39" s="11" t="s">
        <v>71</v>
      </c>
      <c r="D39" s="11"/>
      <c r="E39" s="11">
        <v>1</v>
      </c>
      <c r="F39" s="11">
        <v>2</v>
      </c>
      <c r="G39" s="11">
        <v>0</v>
      </c>
      <c r="H39" s="11">
        <v>0</v>
      </c>
      <c r="I39" s="11">
        <v>2</v>
      </c>
      <c r="J39" s="11">
        <v>0</v>
      </c>
      <c r="K39" s="9">
        <v>5</v>
      </c>
      <c r="L39" s="13"/>
    </row>
    <row r="40" spans="1:12" x14ac:dyDescent="0.3">
      <c r="A40" s="11" t="s">
        <v>174</v>
      </c>
      <c r="B40" s="11" t="s">
        <v>182</v>
      </c>
      <c r="C40" s="11" t="s">
        <v>93</v>
      </c>
      <c r="D40" s="11"/>
      <c r="E40" s="11">
        <v>1</v>
      </c>
      <c r="F40" s="11">
        <v>1</v>
      </c>
      <c r="G40" s="11">
        <v>0</v>
      </c>
      <c r="H40" s="11">
        <v>0</v>
      </c>
      <c r="I40" s="11">
        <v>0</v>
      </c>
      <c r="J40" s="11">
        <v>0</v>
      </c>
      <c r="K40" s="9">
        <v>2</v>
      </c>
      <c r="L40" s="13"/>
    </row>
    <row r="41" spans="1:12" x14ac:dyDescent="0.3">
      <c r="A41" s="11" t="s">
        <v>174</v>
      </c>
      <c r="B41" s="11" t="s">
        <v>183</v>
      </c>
      <c r="C41" s="11" t="s">
        <v>76</v>
      </c>
      <c r="D41" s="11"/>
      <c r="E41" s="11">
        <v>1</v>
      </c>
      <c r="F41" s="11">
        <v>1</v>
      </c>
      <c r="G41" s="11">
        <v>0</v>
      </c>
      <c r="H41" s="11">
        <v>0</v>
      </c>
      <c r="I41" s="11">
        <v>0</v>
      </c>
      <c r="J41" s="11">
        <v>2</v>
      </c>
      <c r="K41" s="9">
        <v>4</v>
      </c>
      <c r="L41" s="13"/>
    </row>
    <row r="42" spans="1:12" x14ac:dyDescent="0.25">
      <c r="A42" s="55" t="s">
        <v>174</v>
      </c>
      <c r="B42" s="55" t="s">
        <v>126</v>
      </c>
      <c r="C42" s="55" t="s">
        <v>184</v>
      </c>
      <c r="D42" s="55"/>
      <c r="E42" s="55">
        <v>1</v>
      </c>
      <c r="F42" s="55">
        <v>2</v>
      </c>
      <c r="G42" s="55">
        <v>1</v>
      </c>
      <c r="H42" s="55">
        <v>0</v>
      </c>
      <c r="I42" s="55">
        <v>0</v>
      </c>
      <c r="J42" s="55">
        <v>0</v>
      </c>
      <c r="K42" s="55">
        <v>4</v>
      </c>
      <c r="L42" s="55"/>
    </row>
    <row r="43" spans="1:12" x14ac:dyDescent="0.25">
      <c r="A43" s="55" t="s">
        <v>174</v>
      </c>
      <c r="B43" s="55" t="s">
        <v>123</v>
      </c>
      <c r="C43" s="55" t="s">
        <v>121</v>
      </c>
      <c r="D43" s="55"/>
      <c r="E43" s="55">
        <v>1</v>
      </c>
      <c r="F43" s="55">
        <v>2</v>
      </c>
      <c r="G43" s="55">
        <v>0</v>
      </c>
      <c r="H43" s="55">
        <v>0</v>
      </c>
      <c r="I43" s="55">
        <v>1</v>
      </c>
      <c r="J43" s="55">
        <v>0</v>
      </c>
      <c r="K43" s="55">
        <v>4</v>
      </c>
      <c r="L43" s="55"/>
    </row>
    <row r="44" spans="1:12" ht="26.45" customHeight="1" x14ac:dyDescent="0.3">
      <c r="A44" s="14" t="s">
        <v>185</v>
      </c>
      <c r="B44" s="36"/>
      <c r="C44" s="36"/>
      <c r="D44" s="36"/>
      <c r="E44" s="14">
        <v>9</v>
      </c>
      <c r="F44" s="14">
        <v>14</v>
      </c>
      <c r="G44" s="14">
        <v>1</v>
      </c>
      <c r="H44" s="14">
        <v>1</v>
      </c>
      <c r="I44" s="14">
        <v>6</v>
      </c>
      <c r="J44" s="14">
        <v>2</v>
      </c>
      <c r="K44" s="14">
        <v>33</v>
      </c>
      <c r="L44" s="36"/>
    </row>
    <row r="45" spans="1:12" ht="31.15" customHeight="1" x14ac:dyDescent="0.3">
      <c r="A45" s="35" t="s">
        <v>144</v>
      </c>
      <c r="B45" s="55"/>
      <c r="C45" s="55"/>
      <c r="D45" s="55"/>
      <c r="E45" s="62">
        <v>0.27272727272727271</v>
      </c>
      <c r="F45" s="62">
        <v>0.42424242424242431</v>
      </c>
      <c r="G45" s="62">
        <v>3.03030303030303E-2</v>
      </c>
      <c r="H45" s="62">
        <v>3.03030303030303E-2</v>
      </c>
      <c r="I45" s="62">
        <v>0.1818181818181818</v>
      </c>
      <c r="J45" s="62">
        <v>6.0606060606060608E-2</v>
      </c>
      <c r="K45" s="37">
        <v>1</v>
      </c>
      <c r="L45" s="55"/>
    </row>
    <row r="46" spans="1:12" x14ac:dyDescent="0.3">
      <c r="A46" s="11" t="s">
        <v>186</v>
      </c>
      <c r="B46" s="11" t="s">
        <v>187</v>
      </c>
      <c r="C46" s="11" t="s">
        <v>29</v>
      </c>
      <c r="D46" s="11"/>
      <c r="E46" s="11">
        <v>2</v>
      </c>
      <c r="F46" s="11">
        <v>3</v>
      </c>
      <c r="G46" s="11">
        <v>1</v>
      </c>
      <c r="H46" s="11">
        <v>0</v>
      </c>
      <c r="I46" s="11">
        <v>1</v>
      </c>
      <c r="J46" s="11">
        <v>0</v>
      </c>
      <c r="K46" s="9">
        <v>7</v>
      </c>
      <c r="L46" s="13"/>
    </row>
    <row r="47" spans="1:12" x14ac:dyDescent="0.3">
      <c r="A47" s="11" t="s">
        <v>186</v>
      </c>
      <c r="B47" s="41" t="s">
        <v>188</v>
      </c>
      <c r="C47" s="11" t="s">
        <v>29</v>
      </c>
      <c r="D47" s="40"/>
      <c r="E47" s="11">
        <v>2</v>
      </c>
      <c r="F47" s="11">
        <v>3</v>
      </c>
      <c r="G47" s="11">
        <v>0</v>
      </c>
      <c r="H47" s="11">
        <v>0</v>
      </c>
      <c r="I47" s="11">
        <v>1</v>
      </c>
      <c r="J47" s="11">
        <v>0</v>
      </c>
      <c r="K47" s="9">
        <v>6</v>
      </c>
      <c r="L47" s="13"/>
    </row>
    <row r="48" spans="1:12" ht="26.45" customHeight="1" x14ac:dyDescent="0.3">
      <c r="A48" s="11" t="s">
        <v>186</v>
      </c>
      <c r="B48" s="11" t="s">
        <v>188</v>
      </c>
      <c r="C48" s="11" t="s">
        <v>56</v>
      </c>
      <c r="D48" s="40"/>
      <c r="E48" s="11">
        <v>1</v>
      </c>
      <c r="F48" s="11">
        <v>1</v>
      </c>
      <c r="G48" s="11">
        <v>0</v>
      </c>
      <c r="H48" s="11">
        <v>0</v>
      </c>
      <c r="I48" s="11">
        <v>0</v>
      </c>
      <c r="J48" s="11">
        <v>0</v>
      </c>
      <c r="K48" s="9">
        <v>2</v>
      </c>
      <c r="L48" s="13"/>
    </row>
    <row r="49" spans="1:12" x14ac:dyDescent="0.3">
      <c r="A49" s="11" t="s">
        <v>186</v>
      </c>
      <c r="B49" s="11" t="s">
        <v>189</v>
      </c>
      <c r="C49" s="11" t="s">
        <v>71</v>
      </c>
      <c r="D49" s="40"/>
      <c r="E49" s="11">
        <v>1</v>
      </c>
      <c r="F49" s="11">
        <v>1</v>
      </c>
      <c r="G49" s="11">
        <v>0</v>
      </c>
      <c r="H49" s="11">
        <v>0</v>
      </c>
      <c r="I49" s="11">
        <v>0</v>
      </c>
      <c r="J49" s="11">
        <v>0</v>
      </c>
      <c r="K49" s="9">
        <v>2</v>
      </c>
      <c r="L49" s="13"/>
    </row>
    <row r="50" spans="1:12" x14ac:dyDescent="0.3">
      <c r="A50" s="11" t="s">
        <v>186</v>
      </c>
      <c r="B50" s="11" t="s">
        <v>190</v>
      </c>
      <c r="C50" s="11" t="s">
        <v>17</v>
      </c>
      <c r="D50" s="11"/>
      <c r="E50" s="11">
        <v>1</v>
      </c>
      <c r="F50" s="11">
        <v>2</v>
      </c>
      <c r="G50" s="11">
        <v>1</v>
      </c>
      <c r="H50" s="11">
        <v>1</v>
      </c>
      <c r="I50" s="11">
        <v>1</v>
      </c>
      <c r="J50" s="11">
        <v>0</v>
      </c>
      <c r="K50" s="9">
        <v>6</v>
      </c>
      <c r="L50" s="13"/>
    </row>
    <row r="51" spans="1:12" x14ac:dyDescent="0.3">
      <c r="A51" s="11" t="s">
        <v>186</v>
      </c>
      <c r="B51" s="11" t="s">
        <v>191</v>
      </c>
      <c r="C51" s="11" t="s">
        <v>11</v>
      </c>
      <c r="D51" s="11"/>
      <c r="E51" s="11">
        <v>1</v>
      </c>
      <c r="F51" s="11">
        <v>3</v>
      </c>
      <c r="G51" s="11">
        <v>0</v>
      </c>
      <c r="H51" s="11">
        <v>0</v>
      </c>
      <c r="I51" s="11">
        <v>1</v>
      </c>
      <c r="J51" s="11">
        <v>0</v>
      </c>
      <c r="K51" s="9">
        <v>5</v>
      </c>
      <c r="L51" s="13"/>
    </row>
    <row r="52" spans="1:12" x14ac:dyDescent="0.3">
      <c r="A52" s="11" t="s">
        <v>186</v>
      </c>
      <c r="B52" s="11" t="s">
        <v>192</v>
      </c>
      <c r="C52" s="11" t="s">
        <v>65</v>
      </c>
      <c r="D52" s="11"/>
      <c r="E52" s="11">
        <v>1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9">
        <v>1</v>
      </c>
      <c r="L52" s="13"/>
    </row>
    <row r="53" spans="1:12" x14ac:dyDescent="0.3">
      <c r="A53" s="11" t="s">
        <v>186</v>
      </c>
      <c r="B53" s="11" t="s">
        <v>193</v>
      </c>
      <c r="C53" s="11" t="s">
        <v>17</v>
      </c>
      <c r="D53" s="11"/>
      <c r="E53" s="11">
        <v>1</v>
      </c>
      <c r="F53" s="11">
        <v>2</v>
      </c>
      <c r="G53" s="11">
        <v>0</v>
      </c>
      <c r="H53" s="11">
        <v>0</v>
      </c>
      <c r="I53" s="11">
        <v>1</v>
      </c>
      <c r="J53" s="11">
        <v>0</v>
      </c>
      <c r="K53" s="9">
        <v>4</v>
      </c>
      <c r="L53" s="13"/>
    </row>
    <row r="54" spans="1:12" x14ac:dyDescent="0.3">
      <c r="A54" s="11" t="s">
        <v>186</v>
      </c>
      <c r="B54" s="11" t="s">
        <v>194</v>
      </c>
      <c r="C54" s="11" t="s">
        <v>20</v>
      </c>
      <c r="D54" s="11"/>
      <c r="E54" s="11">
        <v>1</v>
      </c>
      <c r="F54" s="11">
        <v>2</v>
      </c>
      <c r="G54" s="11">
        <v>0</v>
      </c>
      <c r="H54" s="11">
        <v>0</v>
      </c>
      <c r="I54" s="11">
        <v>1</v>
      </c>
      <c r="J54" s="11">
        <v>0</v>
      </c>
      <c r="K54" s="9">
        <v>4</v>
      </c>
      <c r="L54" s="55"/>
    </row>
    <row r="55" spans="1:12" ht="26.45" customHeight="1" x14ac:dyDescent="0.25">
      <c r="A55" s="54" t="s">
        <v>186</v>
      </c>
      <c r="B55" s="54" t="s">
        <v>195</v>
      </c>
      <c r="C55" s="54" t="s">
        <v>196</v>
      </c>
      <c r="E55" s="54">
        <v>1</v>
      </c>
      <c r="F55" s="54">
        <v>0</v>
      </c>
      <c r="G55" s="54">
        <v>0</v>
      </c>
      <c r="H55" s="54">
        <v>0</v>
      </c>
      <c r="I55" s="54">
        <v>0</v>
      </c>
      <c r="J55" s="54">
        <v>0</v>
      </c>
      <c r="K55" s="54">
        <v>1</v>
      </c>
    </row>
    <row r="56" spans="1:12" ht="31.15" customHeight="1" x14ac:dyDescent="0.3">
      <c r="A56" s="14" t="s">
        <v>197</v>
      </c>
      <c r="B56" s="36"/>
      <c r="C56" s="36"/>
      <c r="D56" s="36"/>
      <c r="E56" s="14">
        <v>12</v>
      </c>
      <c r="F56" s="14">
        <v>17</v>
      </c>
      <c r="G56" s="14">
        <v>2</v>
      </c>
      <c r="H56" s="14">
        <v>1</v>
      </c>
      <c r="I56" s="14">
        <v>6</v>
      </c>
      <c r="J56" s="14">
        <v>0</v>
      </c>
      <c r="K56" s="14">
        <v>38</v>
      </c>
      <c r="L56" s="36"/>
    </row>
    <row r="57" spans="1:12" ht="30" x14ac:dyDescent="0.3">
      <c r="A57" s="35" t="s">
        <v>144</v>
      </c>
      <c r="B57" s="55"/>
      <c r="C57" s="55"/>
      <c r="D57" s="55"/>
      <c r="E57" s="62">
        <v>0.31578947368421051</v>
      </c>
      <c r="F57" s="62">
        <v>0.44736842105263158</v>
      </c>
      <c r="G57" s="62">
        <v>5.2631578947368418E-2</v>
      </c>
      <c r="H57" s="62">
        <v>2.6315789473684209E-2</v>
      </c>
      <c r="I57" s="62">
        <v>0.15789473684210531</v>
      </c>
      <c r="J57" s="62">
        <v>0</v>
      </c>
      <c r="K57" s="37">
        <v>1</v>
      </c>
      <c r="L57" s="55"/>
    </row>
    <row r="58" spans="1:12" x14ac:dyDescent="0.3">
      <c r="A58" s="11" t="s">
        <v>198</v>
      </c>
      <c r="B58" s="11" t="s">
        <v>199</v>
      </c>
      <c r="C58" s="11" t="s">
        <v>76</v>
      </c>
      <c r="D58" s="11"/>
      <c r="E58" s="11">
        <v>1</v>
      </c>
      <c r="F58" s="11">
        <v>2</v>
      </c>
      <c r="G58" s="11">
        <v>0</v>
      </c>
      <c r="H58" s="11">
        <v>0</v>
      </c>
      <c r="I58" s="11">
        <v>1</v>
      </c>
      <c r="J58" s="11">
        <v>0</v>
      </c>
      <c r="K58" s="9">
        <v>4</v>
      </c>
      <c r="L58" s="13"/>
    </row>
    <row r="59" spans="1:12" ht="26.45" customHeight="1" x14ac:dyDescent="0.3">
      <c r="A59" s="11" t="s">
        <v>198</v>
      </c>
      <c r="B59" s="11" t="s">
        <v>200</v>
      </c>
      <c r="C59" s="11" t="s">
        <v>17</v>
      </c>
      <c r="D59" s="11"/>
      <c r="E59" s="11">
        <v>2</v>
      </c>
      <c r="F59" s="11">
        <v>1</v>
      </c>
      <c r="G59" s="11">
        <v>0</v>
      </c>
      <c r="H59" s="11">
        <v>1</v>
      </c>
      <c r="I59" s="11">
        <v>0</v>
      </c>
      <c r="J59" s="11">
        <v>0</v>
      </c>
      <c r="K59" s="9">
        <v>4</v>
      </c>
      <c r="L59" s="13"/>
    </row>
    <row r="60" spans="1:12" ht="26.45" customHeight="1" x14ac:dyDescent="0.3">
      <c r="A60" s="11" t="s">
        <v>198</v>
      </c>
      <c r="B60" s="11" t="s">
        <v>201</v>
      </c>
      <c r="C60" s="11" t="s">
        <v>56</v>
      </c>
      <c r="D60" s="11"/>
      <c r="E60" s="11">
        <v>1</v>
      </c>
      <c r="F60" s="11">
        <v>2</v>
      </c>
      <c r="G60" s="11">
        <v>0</v>
      </c>
      <c r="H60" s="11">
        <v>0</v>
      </c>
      <c r="I60" s="11">
        <v>1</v>
      </c>
      <c r="J60" s="11">
        <v>0</v>
      </c>
      <c r="K60" s="9">
        <v>4</v>
      </c>
      <c r="L60" s="13"/>
    </row>
    <row r="61" spans="1:12" x14ac:dyDescent="0.3">
      <c r="A61" s="15" t="s">
        <v>198</v>
      </c>
      <c r="B61" s="15" t="s">
        <v>202</v>
      </c>
      <c r="C61" s="15" t="s">
        <v>168</v>
      </c>
      <c r="D61" s="40" t="s">
        <v>169</v>
      </c>
      <c r="E61" s="13">
        <v>0</v>
      </c>
      <c r="F61" s="13">
        <v>3</v>
      </c>
      <c r="G61" s="13">
        <v>0</v>
      </c>
      <c r="H61" s="13">
        <v>1</v>
      </c>
      <c r="I61" s="13">
        <v>1</v>
      </c>
      <c r="J61" s="13">
        <v>0</v>
      </c>
      <c r="K61" s="9">
        <v>0</v>
      </c>
      <c r="L61" s="15" t="s">
        <v>170</v>
      </c>
    </row>
    <row r="62" spans="1:12" x14ac:dyDescent="0.3">
      <c r="A62" s="11" t="s">
        <v>198</v>
      </c>
      <c r="B62" s="11" t="s">
        <v>203</v>
      </c>
      <c r="C62" s="11" t="s">
        <v>65</v>
      </c>
      <c r="D62" s="40"/>
      <c r="E62" s="11">
        <v>0</v>
      </c>
      <c r="F62" s="11">
        <v>1</v>
      </c>
      <c r="G62" s="11">
        <v>0</v>
      </c>
      <c r="H62" s="11">
        <v>1</v>
      </c>
      <c r="I62" s="11">
        <v>0</v>
      </c>
      <c r="J62" s="11">
        <v>0</v>
      </c>
      <c r="K62" s="9">
        <v>2</v>
      </c>
      <c r="L62" s="13"/>
    </row>
    <row r="63" spans="1:12" x14ac:dyDescent="0.3">
      <c r="A63" s="11" t="s">
        <v>198</v>
      </c>
      <c r="B63" s="11" t="s">
        <v>204</v>
      </c>
      <c r="C63" s="11" t="s">
        <v>205</v>
      </c>
      <c r="D63" s="11"/>
      <c r="E63" s="11">
        <v>0</v>
      </c>
      <c r="F63" s="11">
        <v>1</v>
      </c>
      <c r="G63" s="11">
        <v>0</v>
      </c>
      <c r="H63" s="11">
        <v>0</v>
      </c>
      <c r="I63" s="11">
        <v>0</v>
      </c>
      <c r="J63" s="11">
        <v>0</v>
      </c>
      <c r="K63" s="9">
        <v>1</v>
      </c>
      <c r="L63" s="13"/>
    </row>
    <row r="64" spans="1:12" x14ac:dyDescent="0.3">
      <c r="A64" s="11" t="s">
        <v>198</v>
      </c>
      <c r="B64" s="11" t="s">
        <v>206</v>
      </c>
      <c r="C64" s="11" t="s">
        <v>26</v>
      </c>
      <c r="D64" s="11"/>
      <c r="E64" s="11">
        <v>2</v>
      </c>
      <c r="F64" s="11">
        <v>1</v>
      </c>
      <c r="G64" s="11">
        <v>0</v>
      </c>
      <c r="H64" s="11">
        <v>0</v>
      </c>
      <c r="I64" s="11">
        <v>0</v>
      </c>
      <c r="J64" s="11">
        <v>0</v>
      </c>
      <c r="K64" s="9">
        <v>3</v>
      </c>
      <c r="L64" s="55"/>
    </row>
    <row r="65" spans="1:12" ht="26.45" customHeight="1" x14ac:dyDescent="0.3">
      <c r="A65" s="11" t="s">
        <v>198</v>
      </c>
      <c r="B65" s="11" t="s">
        <v>207</v>
      </c>
      <c r="C65" s="11" t="s">
        <v>109</v>
      </c>
      <c r="D65" s="11"/>
      <c r="E65" s="11">
        <v>1</v>
      </c>
      <c r="F65" s="11">
        <v>2</v>
      </c>
      <c r="G65" s="11">
        <v>1</v>
      </c>
      <c r="H65" s="11">
        <v>0</v>
      </c>
      <c r="I65" s="11">
        <v>0</v>
      </c>
      <c r="J65" s="11">
        <v>0</v>
      </c>
      <c r="K65" s="9">
        <v>4</v>
      </c>
      <c r="L65" s="55"/>
    </row>
    <row r="66" spans="1:12" ht="30" x14ac:dyDescent="0.3">
      <c r="A66" s="11" t="s">
        <v>198</v>
      </c>
      <c r="B66" s="11" t="s">
        <v>104</v>
      </c>
      <c r="C66" s="11" t="s">
        <v>76</v>
      </c>
      <c r="D66" s="11" t="s">
        <v>208</v>
      </c>
      <c r="E66" s="11">
        <v>1</v>
      </c>
      <c r="F66" s="11">
        <v>0</v>
      </c>
      <c r="G66" s="11">
        <v>0</v>
      </c>
      <c r="H66" s="11">
        <v>0</v>
      </c>
      <c r="I66" s="11">
        <v>1</v>
      </c>
      <c r="J66" s="11">
        <v>3</v>
      </c>
      <c r="K66" s="9">
        <v>5</v>
      </c>
      <c r="L66" s="55"/>
    </row>
    <row r="67" spans="1:12" ht="26.45" customHeight="1" x14ac:dyDescent="0.25">
      <c r="A67" s="55" t="s">
        <v>198</v>
      </c>
      <c r="B67" s="55" t="s">
        <v>118</v>
      </c>
      <c r="C67" s="55" t="s">
        <v>102</v>
      </c>
      <c r="D67" s="55"/>
      <c r="E67" s="55">
        <v>1</v>
      </c>
      <c r="F67" s="55">
        <v>1</v>
      </c>
      <c r="G67" s="55">
        <v>0</v>
      </c>
      <c r="H67" s="55">
        <v>0</v>
      </c>
      <c r="I67" s="55">
        <v>1</v>
      </c>
      <c r="J67" s="55">
        <v>0</v>
      </c>
      <c r="K67" s="55">
        <v>3</v>
      </c>
      <c r="L67" s="55"/>
    </row>
    <row r="68" spans="1:12" ht="31.15" customHeight="1" x14ac:dyDescent="0.3">
      <c r="A68" s="14" t="s">
        <v>209</v>
      </c>
      <c r="B68" s="36"/>
      <c r="C68" s="36"/>
      <c r="D68" s="36"/>
      <c r="E68" s="14">
        <v>9</v>
      </c>
      <c r="F68" s="14">
        <v>11</v>
      </c>
      <c r="G68" s="14">
        <v>1</v>
      </c>
      <c r="H68" s="14">
        <v>2</v>
      </c>
      <c r="I68" s="14">
        <v>4</v>
      </c>
      <c r="J68" s="14">
        <v>3</v>
      </c>
      <c r="K68" s="14">
        <v>30</v>
      </c>
      <c r="L68" s="36"/>
    </row>
    <row r="69" spans="1:12" ht="30" x14ac:dyDescent="0.3">
      <c r="A69" s="35" t="s">
        <v>144</v>
      </c>
      <c r="B69" s="55"/>
      <c r="C69" s="55"/>
      <c r="D69" s="55"/>
      <c r="E69" s="62">
        <v>0.3</v>
      </c>
      <c r="F69" s="62">
        <v>0.36670000000000003</v>
      </c>
      <c r="G69" s="62">
        <v>3.3000000000000002E-2</v>
      </c>
      <c r="H69" s="62">
        <v>6.6699999999999995E-2</v>
      </c>
      <c r="I69" s="62">
        <v>0.1333</v>
      </c>
      <c r="J69" s="62">
        <v>0.1</v>
      </c>
      <c r="K69" s="37">
        <v>1</v>
      </c>
      <c r="L69" s="55"/>
    </row>
    <row r="70" spans="1:12" ht="26.45" customHeight="1" x14ac:dyDescent="0.3">
      <c r="A70" s="11" t="s">
        <v>210</v>
      </c>
      <c r="B70" s="11" t="s">
        <v>211</v>
      </c>
      <c r="C70" s="11" t="s">
        <v>60</v>
      </c>
      <c r="D70" s="11"/>
      <c r="E70" s="11">
        <v>1</v>
      </c>
      <c r="F70" s="11">
        <v>2</v>
      </c>
      <c r="G70" s="11">
        <v>0</v>
      </c>
      <c r="H70" s="11">
        <v>0</v>
      </c>
      <c r="I70" s="11">
        <v>2</v>
      </c>
      <c r="J70" s="11">
        <v>0</v>
      </c>
      <c r="K70" s="9">
        <v>5</v>
      </c>
      <c r="L70" s="13"/>
    </row>
    <row r="71" spans="1:12" ht="30" x14ac:dyDescent="0.3">
      <c r="A71" s="11" t="s">
        <v>210</v>
      </c>
      <c r="B71" s="11" t="s">
        <v>212</v>
      </c>
      <c r="C71" s="11" t="s">
        <v>56</v>
      </c>
      <c r="D71" s="11"/>
      <c r="E71" s="11">
        <v>1</v>
      </c>
      <c r="F71" s="11">
        <v>2</v>
      </c>
      <c r="G71" s="11">
        <v>1</v>
      </c>
      <c r="H71" s="11">
        <v>0</v>
      </c>
      <c r="I71" s="11">
        <v>0</v>
      </c>
      <c r="J71" s="11">
        <v>0</v>
      </c>
      <c r="K71" s="9">
        <v>4</v>
      </c>
      <c r="L71" s="13"/>
    </row>
    <row r="72" spans="1:12" x14ac:dyDescent="0.3">
      <c r="A72" s="11" t="s">
        <v>210</v>
      </c>
      <c r="B72" s="11" t="s">
        <v>213</v>
      </c>
      <c r="C72" s="11" t="s">
        <v>57</v>
      </c>
      <c r="D72" s="11"/>
      <c r="E72" s="11">
        <v>1</v>
      </c>
      <c r="F72" s="11">
        <v>1</v>
      </c>
      <c r="G72" s="11">
        <v>0</v>
      </c>
      <c r="H72" s="11">
        <v>0</v>
      </c>
      <c r="I72" s="11">
        <v>2</v>
      </c>
      <c r="J72" s="11">
        <v>0</v>
      </c>
      <c r="K72" s="9">
        <v>4</v>
      </c>
      <c r="L72" s="13"/>
    </row>
    <row r="73" spans="1:12" x14ac:dyDescent="0.3">
      <c r="A73" s="11" t="s">
        <v>210</v>
      </c>
      <c r="B73" s="11" t="s">
        <v>214</v>
      </c>
      <c r="C73" s="11" t="s">
        <v>68</v>
      </c>
      <c r="D73" s="11"/>
      <c r="E73" s="11">
        <v>1</v>
      </c>
      <c r="F73" s="11">
        <v>1</v>
      </c>
      <c r="G73" s="11">
        <v>0</v>
      </c>
      <c r="H73" s="11">
        <v>0</v>
      </c>
      <c r="I73" s="11">
        <v>1</v>
      </c>
      <c r="J73" s="11">
        <v>0</v>
      </c>
      <c r="K73" s="9">
        <v>3</v>
      </c>
      <c r="L73" s="13"/>
    </row>
    <row r="74" spans="1:12" ht="26.45" customHeight="1" x14ac:dyDescent="0.3">
      <c r="A74" s="11" t="s">
        <v>210</v>
      </c>
      <c r="B74" s="11" t="s">
        <v>215</v>
      </c>
      <c r="C74" s="11" t="s">
        <v>114</v>
      </c>
      <c r="D74" s="11"/>
      <c r="E74" s="11">
        <v>1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9">
        <v>1</v>
      </c>
      <c r="L74" s="13"/>
    </row>
    <row r="75" spans="1:12" ht="31.15" customHeight="1" x14ac:dyDescent="0.3">
      <c r="A75" s="14" t="s">
        <v>216</v>
      </c>
      <c r="B75" s="36"/>
      <c r="C75" s="36"/>
      <c r="D75" s="36"/>
      <c r="E75" s="14">
        <v>5</v>
      </c>
      <c r="F75" s="14">
        <v>6</v>
      </c>
      <c r="G75" s="14">
        <v>1</v>
      </c>
      <c r="H75" s="14">
        <v>0</v>
      </c>
      <c r="I75" s="14">
        <v>5</v>
      </c>
      <c r="J75" s="14">
        <v>0</v>
      </c>
      <c r="K75" s="14">
        <f>SUM(K69:K73)</f>
        <v>17</v>
      </c>
      <c r="L75" s="36"/>
    </row>
    <row r="76" spans="1:12" ht="30" x14ac:dyDescent="0.3">
      <c r="A76" s="35" t="s">
        <v>144</v>
      </c>
      <c r="B76" s="55"/>
      <c r="C76" s="55"/>
      <c r="D76" s="55"/>
      <c r="E76" s="62">
        <v>0.29411764705882348</v>
      </c>
      <c r="F76" s="62">
        <v>0.35294117647058831</v>
      </c>
      <c r="G76" s="62">
        <v>5.8823529411764712E-2</v>
      </c>
      <c r="H76" s="62">
        <v>0</v>
      </c>
      <c r="I76" s="62">
        <v>0.29411764705882348</v>
      </c>
      <c r="J76" s="62">
        <v>0</v>
      </c>
      <c r="K76" s="42">
        <v>1</v>
      </c>
      <c r="L76" s="55"/>
    </row>
  </sheetData>
  <autoFilter ref="A2:L75" xr:uid="{00000000-0009-0000-0000-000001000000}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0"/>
  <sheetViews>
    <sheetView workbookViewId="0">
      <selection activeCell="K44" sqref="K44"/>
    </sheetView>
  </sheetViews>
  <sheetFormatPr defaultRowHeight="16.5" x14ac:dyDescent="0.25"/>
  <cols>
    <col min="1" max="1" width="14.9765625" style="56" bestFit="1" customWidth="1"/>
    <col min="2" max="2" width="6.43359375" style="56" bestFit="1" customWidth="1"/>
    <col min="3" max="9" width="4.82421875" style="56" bestFit="1" customWidth="1"/>
    <col min="10" max="10" width="8.16796875" style="56" bestFit="1" customWidth="1"/>
  </cols>
  <sheetData>
    <row r="1" spans="1:10" x14ac:dyDescent="0.25">
      <c r="A1" s="84" t="s">
        <v>217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ht="26.45" customHeight="1" x14ac:dyDescent="0.3">
      <c r="A2" s="1" t="s">
        <v>218</v>
      </c>
      <c r="B2" s="1" t="s">
        <v>219</v>
      </c>
      <c r="C2" s="2" t="s">
        <v>5</v>
      </c>
      <c r="D2" s="3" t="s">
        <v>6</v>
      </c>
      <c r="E2" s="4" t="s">
        <v>130</v>
      </c>
      <c r="F2" s="5" t="s">
        <v>131</v>
      </c>
      <c r="G2" s="6" t="s">
        <v>8</v>
      </c>
      <c r="H2" s="7" t="s">
        <v>220</v>
      </c>
      <c r="I2" s="1" t="s">
        <v>14</v>
      </c>
      <c r="J2" s="63" t="s">
        <v>221</v>
      </c>
    </row>
    <row r="3" spans="1:10" x14ac:dyDescent="0.3">
      <c r="A3" s="12" t="s">
        <v>17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64">
        <v>0.28571428571428598</v>
      </c>
    </row>
    <row r="4" spans="1:10" ht="26.45" customHeight="1" x14ac:dyDescent="0.3">
      <c r="A4" s="12" t="s">
        <v>56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64">
        <v>0.33300000000000002</v>
      </c>
    </row>
    <row r="5" spans="1:10" x14ac:dyDescent="0.3">
      <c r="A5" s="12" t="s">
        <v>71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64">
        <v>0.1818181818181818</v>
      </c>
    </row>
    <row r="6" spans="1:10" x14ac:dyDescent="0.3">
      <c r="A6" s="12" t="s">
        <v>11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64">
        <v>0.27272727272727298</v>
      </c>
    </row>
    <row r="7" spans="1:10" x14ac:dyDescent="0.3">
      <c r="A7" s="12" t="s">
        <v>20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64">
        <v>0.25</v>
      </c>
    </row>
    <row r="8" spans="1:10" x14ac:dyDescent="0.3">
      <c r="A8" s="12" t="s">
        <v>29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64">
        <v>0.307</v>
      </c>
    </row>
    <row r="9" spans="1:10" x14ac:dyDescent="0.3">
      <c r="A9" s="12" t="s">
        <v>32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64">
        <v>0.28571428571428598</v>
      </c>
    </row>
    <row r="10" spans="1:10" x14ac:dyDescent="0.3">
      <c r="A10" s="12" t="s">
        <v>53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64">
        <v>0.33333333333333298</v>
      </c>
    </row>
    <row r="11" spans="1:10" x14ac:dyDescent="0.3">
      <c r="A11" s="12" t="s">
        <v>26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64">
        <v>0.44444444444444442</v>
      </c>
    </row>
    <row r="12" spans="1:10" x14ac:dyDescent="0.3">
      <c r="A12" s="12" t="s">
        <v>60</v>
      </c>
      <c r="B12" s="11">
        <v>1</v>
      </c>
      <c r="C12" s="11">
        <v>1</v>
      </c>
      <c r="D12" s="11">
        <v>2</v>
      </c>
      <c r="E12" s="11">
        <v>0</v>
      </c>
      <c r="F12" s="11">
        <v>0</v>
      </c>
      <c r="G12" s="11">
        <v>2</v>
      </c>
      <c r="H12" s="11">
        <v>0</v>
      </c>
      <c r="I12" s="9">
        <v>5</v>
      </c>
      <c r="J12" s="64">
        <v>0.2</v>
      </c>
    </row>
    <row r="13" spans="1:10" ht="26.45" customHeight="1" x14ac:dyDescent="0.3">
      <c r="A13" s="12" t="s">
        <v>47</v>
      </c>
      <c r="B13" s="11">
        <v>2</v>
      </c>
      <c r="C13" s="11">
        <v>3</v>
      </c>
      <c r="D13" s="11">
        <v>5</v>
      </c>
      <c r="E13" s="11">
        <v>0</v>
      </c>
      <c r="F13" s="11">
        <v>1</v>
      </c>
      <c r="G13" s="11">
        <v>1</v>
      </c>
      <c r="H13" s="11">
        <v>1</v>
      </c>
      <c r="I13" s="9">
        <v>11</v>
      </c>
      <c r="J13" s="64">
        <v>0.27272727272727271</v>
      </c>
    </row>
    <row r="14" spans="1:10" x14ac:dyDescent="0.3">
      <c r="A14" s="12" t="s">
        <v>76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64">
        <v>0.23076923076923081</v>
      </c>
    </row>
    <row r="15" spans="1:10" x14ac:dyDescent="0.3">
      <c r="A15" s="12" t="s">
        <v>57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64">
        <v>0.25</v>
      </c>
    </row>
    <row r="16" spans="1:10" x14ac:dyDescent="0.3">
      <c r="A16" s="12" t="s">
        <v>45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64">
        <v>0.25</v>
      </c>
    </row>
    <row r="17" spans="1:10" x14ac:dyDescent="0.3">
      <c r="A17" s="12" t="s">
        <v>38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64">
        <v>0.25</v>
      </c>
    </row>
    <row r="18" spans="1:10" x14ac:dyDescent="0.3">
      <c r="A18" s="12" t="s">
        <v>64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64">
        <v>0.25</v>
      </c>
    </row>
    <row r="19" spans="1:10" x14ac:dyDescent="0.3">
      <c r="A19" s="12" t="s">
        <v>159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64">
        <v>0.25</v>
      </c>
    </row>
    <row r="20" spans="1:10" x14ac:dyDescent="0.3">
      <c r="A20" s="12" t="s">
        <v>94</v>
      </c>
      <c r="B20" s="11">
        <v>2</v>
      </c>
      <c r="C20" s="11">
        <v>2</v>
      </c>
      <c r="D20" s="11">
        <v>2</v>
      </c>
      <c r="E20" s="11">
        <v>0</v>
      </c>
      <c r="F20" s="11">
        <v>0</v>
      </c>
      <c r="G20" s="11">
        <v>2</v>
      </c>
      <c r="H20" s="11">
        <v>0</v>
      </c>
      <c r="I20" s="9">
        <v>6</v>
      </c>
      <c r="J20" s="64">
        <v>0.33333333333333331</v>
      </c>
    </row>
    <row r="21" spans="1:10" x14ac:dyDescent="0.3">
      <c r="A21" s="12" t="s">
        <v>65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64">
        <v>0.33333333333333298</v>
      </c>
    </row>
    <row r="22" spans="1:10" x14ac:dyDescent="0.3">
      <c r="A22" s="12" t="s">
        <v>68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64">
        <v>0.33333333333333298</v>
      </c>
    </row>
    <row r="23" spans="1:10" ht="26.45" customHeight="1" x14ac:dyDescent="0.3">
      <c r="A23" s="12" t="s">
        <v>87</v>
      </c>
      <c r="B23" s="11">
        <v>1</v>
      </c>
      <c r="C23" s="11">
        <v>1</v>
      </c>
      <c r="D23" s="11">
        <v>1</v>
      </c>
      <c r="E23" s="11">
        <v>0</v>
      </c>
      <c r="F23" s="11">
        <v>0</v>
      </c>
      <c r="G23" s="11">
        <v>1</v>
      </c>
      <c r="H23" s="11">
        <v>0</v>
      </c>
      <c r="I23" s="9">
        <v>3</v>
      </c>
      <c r="J23" s="64">
        <v>0.33333333333333298</v>
      </c>
    </row>
    <row r="24" spans="1:10" x14ac:dyDescent="0.3">
      <c r="A24" s="12" t="s">
        <v>80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64">
        <f>IF(I24=0,0,C24/I24)</f>
        <v>0.33333333333333331</v>
      </c>
    </row>
    <row r="25" spans="1:10" x14ac:dyDescent="0.3">
      <c r="A25" s="12" t="s">
        <v>222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64">
        <v>0.33333333333333298</v>
      </c>
    </row>
    <row r="26" spans="1:10" x14ac:dyDescent="0.3">
      <c r="A26" s="12" t="s">
        <v>180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64">
        <v>0</v>
      </c>
    </row>
    <row r="27" spans="1:10" x14ac:dyDescent="0.3">
      <c r="A27" s="12" t="s">
        <v>41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64">
        <v>0.5</v>
      </c>
    </row>
    <row r="28" spans="1:10" x14ac:dyDescent="0.3">
      <c r="A28" s="12" t="s">
        <v>156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64">
        <v>0</v>
      </c>
    </row>
    <row r="29" spans="1:10" x14ac:dyDescent="0.3">
      <c r="A29" s="12" t="s">
        <v>176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64">
        <v>0.5</v>
      </c>
    </row>
    <row r="30" spans="1:10" x14ac:dyDescent="0.3">
      <c r="A30" s="12" t="s">
        <v>50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64">
        <v>0.4</v>
      </c>
    </row>
    <row r="31" spans="1:10" x14ac:dyDescent="0.3">
      <c r="A31" s="12" t="s">
        <v>205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64">
        <v>0</v>
      </c>
    </row>
    <row r="32" spans="1:10" x14ac:dyDescent="0.3">
      <c r="A32" s="12" t="s">
        <v>93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64">
        <v>0.5</v>
      </c>
    </row>
    <row r="33" spans="1:10" x14ac:dyDescent="0.3">
      <c r="A33" s="12" t="s">
        <v>109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64">
        <v>0.25</v>
      </c>
    </row>
    <row r="34" spans="1:10" x14ac:dyDescent="0.3">
      <c r="A34" s="12" t="s">
        <v>114</v>
      </c>
      <c r="B34" s="11">
        <v>1</v>
      </c>
      <c r="C34" s="11">
        <v>1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v>1</v>
      </c>
      <c r="J34" s="64">
        <v>1</v>
      </c>
    </row>
    <row r="35" spans="1:10" x14ac:dyDescent="0.3">
      <c r="A35" s="12" t="s">
        <v>111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64">
        <v>0.2</v>
      </c>
    </row>
    <row r="36" spans="1:10" x14ac:dyDescent="0.25">
      <c r="A36" s="54" t="s">
        <v>102</v>
      </c>
      <c r="B36" s="54">
        <v>2</v>
      </c>
      <c r="C36" s="54">
        <v>2</v>
      </c>
      <c r="D36" s="54">
        <v>2</v>
      </c>
      <c r="E36" s="54">
        <v>0</v>
      </c>
      <c r="F36" s="54">
        <v>0</v>
      </c>
      <c r="G36" s="54">
        <v>1</v>
      </c>
      <c r="H36" s="54">
        <v>2</v>
      </c>
      <c r="I36" s="54">
        <v>7</v>
      </c>
      <c r="J36" s="61">
        <v>0.28499999999999998</v>
      </c>
    </row>
    <row r="37" spans="1:10" x14ac:dyDescent="0.25">
      <c r="A37" s="54" t="s">
        <v>184</v>
      </c>
      <c r="B37" s="54">
        <v>1</v>
      </c>
      <c r="C37" s="54">
        <v>1</v>
      </c>
      <c r="D37" s="54">
        <v>2</v>
      </c>
      <c r="E37" s="54">
        <v>1</v>
      </c>
      <c r="F37" s="54">
        <v>0</v>
      </c>
      <c r="G37" s="54">
        <v>0</v>
      </c>
      <c r="H37" s="54">
        <v>0</v>
      </c>
      <c r="I37" s="54">
        <v>4</v>
      </c>
      <c r="J37" s="65">
        <v>0.25</v>
      </c>
    </row>
    <row r="38" spans="1:10" x14ac:dyDescent="0.25">
      <c r="A38" s="54" t="s">
        <v>120</v>
      </c>
      <c r="B38" s="54">
        <v>1</v>
      </c>
      <c r="C38" s="54">
        <v>1</v>
      </c>
      <c r="D38" s="54">
        <v>1</v>
      </c>
      <c r="E38" s="54">
        <v>0</v>
      </c>
      <c r="F38" s="54">
        <v>0</v>
      </c>
      <c r="G38" s="54">
        <v>0</v>
      </c>
      <c r="H38" s="54">
        <v>2</v>
      </c>
      <c r="I38" s="54">
        <v>4</v>
      </c>
      <c r="J38" s="65">
        <v>0.25</v>
      </c>
    </row>
    <row r="39" spans="1:10" x14ac:dyDescent="0.25">
      <c r="A39" s="54" t="s">
        <v>121</v>
      </c>
      <c r="B39" s="54">
        <v>1</v>
      </c>
      <c r="C39" s="54">
        <v>1</v>
      </c>
      <c r="D39" s="54">
        <v>2</v>
      </c>
      <c r="E39" s="54">
        <v>0</v>
      </c>
      <c r="F39" s="54">
        <v>0</v>
      </c>
      <c r="G39" s="54">
        <v>1</v>
      </c>
      <c r="H39" s="54">
        <v>0</v>
      </c>
      <c r="I39" s="54">
        <v>4</v>
      </c>
      <c r="J39" s="65">
        <v>0.25</v>
      </c>
    </row>
    <row r="40" spans="1:10" x14ac:dyDescent="0.25">
      <c r="A40" s="54" t="s">
        <v>196</v>
      </c>
      <c r="B40" s="54">
        <v>1</v>
      </c>
      <c r="C40" s="54">
        <v>1</v>
      </c>
      <c r="D40" s="54">
        <v>0</v>
      </c>
      <c r="E40" s="54">
        <v>0</v>
      </c>
      <c r="F40" s="54">
        <v>0</v>
      </c>
      <c r="G40" s="54">
        <v>0</v>
      </c>
      <c r="H40" s="54">
        <v>0</v>
      </c>
      <c r="I40" s="54">
        <v>1</v>
      </c>
      <c r="J40" s="61">
        <v>1</v>
      </c>
    </row>
  </sheetData>
  <mergeCells count="1">
    <mergeCell ref="A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topLeftCell="A7" workbookViewId="0">
      <selection activeCell="E21" sqref="E21"/>
    </sheetView>
  </sheetViews>
  <sheetFormatPr defaultRowHeight="16.5" x14ac:dyDescent="0.25"/>
  <cols>
    <col min="1" max="1" width="9.16015625" style="56" bestFit="1" customWidth="1"/>
    <col min="2" max="2" width="27.23046875" style="56" bestFit="1" customWidth="1"/>
    <col min="3" max="3" width="8.5390625" style="56" bestFit="1" customWidth="1"/>
    <col min="4" max="4" width="18.1953125" style="56" bestFit="1" customWidth="1"/>
    <col min="5" max="6" width="8.16796875" style="56" bestFit="1" customWidth="1"/>
    <col min="7" max="8" width="4.82421875" style="56" bestFit="1" customWidth="1"/>
    <col min="9" max="9" width="16.83203125" style="56" bestFit="1" customWidth="1"/>
  </cols>
  <sheetData>
    <row r="1" spans="1:9" ht="25.15" customHeight="1" x14ac:dyDescent="0.25">
      <c r="A1" s="86" t="s">
        <v>223</v>
      </c>
      <c r="B1" s="76"/>
      <c r="C1" s="76"/>
      <c r="D1" s="76"/>
      <c r="E1" s="76"/>
      <c r="F1" s="76"/>
      <c r="G1" s="76"/>
      <c r="H1" s="76"/>
      <c r="I1" s="76"/>
    </row>
    <row r="2" spans="1:9" x14ac:dyDescent="0.25">
      <c r="A2" s="88" t="s">
        <v>224</v>
      </c>
      <c r="B2" s="76"/>
      <c r="C2" s="76"/>
      <c r="D2" s="76"/>
      <c r="E2" s="76"/>
      <c r="F2" s="76"/>
      <c r="G2" s="76"/>
      <c r="H2" s="76"/>
      <c r="I2" s="76"/>
    </row>
    <row r="4" spans="1:9" ht="19.149999999999999" customHeight="1" x14ac:dyDescent="0.25">
      <c r="A4" s="87" t="s">
        <v>225</v>
      </c>
      <c r="B4" s="76"/>
      <c r="C4" s="76"/>
      <c r="D4" s="76"/>
      <c r="E4" s="76"/>
      <c r="F4" s="76"/>
      <c r="G4" s="76"/>
      <c r="H4" s="76"/>
      <c r="I4" s="76"/>
    </row>
    <row r="5" spans="1:9" x14ac:dyDescent="0.25">
      <c r="A5" s="17" t="s">
        <v>226</v>
      </c>
      <c r="B5" s="17" t="s">
        <v>227</v>
      </c>
      <c r="C5" s="17" t="s">
        <v>228</v>
      </c>
      <c r="D5" s="17" t="s">
        <v>229</v>
      </c>
      <c r="E5" s="17" t="s">
        <v>230</v>
      </c>
      <c r="F5" s="17" t="s">
        <v>9</v>
      </c>
    </row>
    <row r="6" spans="1:9" x14ac:dyDescent="0.25">
      <c r="A6" s="18">
        <f>SUM(C11:C20)</f>
        <v>112</v>
      </c>
      <c r="B6" s="18">
        <f>SUM(D11:D20)</f>
        <v>45</v>
      </c>
      <c r="C6" s="18">
        <f>SUM(E11:E20)</f>
        <v>54</v>
      </c>
      <c r="D6" s="18">
        <f>SUM(F11:F20)</f>
        <v>1</v>
      </c>
      <c r="E6" s="18">
        <f>SUM(G11:G20)</f>
        <v>12</v>
      </c>
      <c r="F6" s="18">
        <f>SUM(H11:H20)</f>
        <v>0</v>
      </c>
    </row>
    <row r="7" spans="1:9" x14ac:dyDescent="0.25">
      <c r="A7" s="19" t="s">
        <v>231</v>
      </c>
      <c r="B7" s="66">
        <f>B6/A6</f>
        <v>0.4017857142857143</v>
      </c>
      <c r="C7" s="66">
        <f>C6/A6</f>
        <v>0.48214285714285715</v>
      </c>
      <c r="D7" s="66">
        <f>D6/A6</f>
        <v>8.9285714285714281E-3</v>
      </c>
      <c r="E7" s="66">
        <f>E6/A6</f>
        <v>0.10714285714285714</v>
      </c>
      <c r="F7" s="66">
        <f>F6/A6</f>
        <v>0</v>
      </c>
    </row>
    <row r="9" spans="1:9" ht="19.149999999999999" customHeight="1" x14ac:dyDescent="0.25">
      <c r="A9" s="87" t="s">
        <v>232</v>
      </c>
      <c r="B9" s="76"/>
      <c r="C9" s="76"/>
      <c r="D9" s="76"/>
      <c r="E9" s="76"/>
      <c r="F9" s="76"/>
      <c r="G9" s="76"/>
      <c r="H9" s="76"/>
      <c r="I9" s="76"/>
    </row>
    <row r="10" spans="1:9" ht="46.9" customHeight="1" x14ac:dyDescent="0.2">
      <c r="A10" s="20" t="s">
        <v>233</v>
      </c>
      <c r="B10" s="20" t="s">
        <v>3</v>
      </c>
      <c r="C10" s="20" t="s">
        <v>234</v>
      </c>
      <c r="D10" s="20" t="s">
        <v>227</v>
      </c>
      <c r="E10" s="20" t="s">
        <v>228</v>
      </c>
      <c r="F10" s="20" t="s">
        <v>235</v>
      </c>
      <c r="G10" s="20" t="s">
        <v>230</v>
      </c>
      <c r="H10" s="20" t="s">
        <v>9</v>
      </c>
      <c r="I10" s="20" t="s">
        <v>236</v>
      </c>
    </row>
    <row r="11" spans="1:9" x14ac:dyDescent="0.25">
      <c r="A11" s="21">
        <v>1</v>
      </c>
      <c r="B11" s="22" t="s">
        <v>237</v>
      </c>
      <c r="C11" s="23">
        <v>29</v>
      </c>
      <c r="D11" s="24">
        <v>11</v>
      </c>
      <c r="E11" s="24">
        <v>16</v>
      </c>
      <c r="F11" s="24">
        <v>0</v>
      </c>
      <c r="G11" s="24">
        <v>2</v>
      </c>
      <c r="H11" s="24">
        <v>0</v>
      </c>
      <c r="I11" s="25" t="s">
        <v>238</v>
      </c>
    </row>
    <row r="12" spans="1:9" x14ac:dyDescent="0.25">
      <c r="A12" s="26">
        <v>2</v>
      </c>
      <c r="B12" s="27" t="s">
        <v>239</v>
      </c>
      <c r="C12" s="28">
        <v>23</v>
      </c>
      <c r="D12" s="29">
        <v>10</v>
      </c>
      <c r="E12" s="29">
        <v>10</v>
      </c>
      <c r="F12" s="29">
        <v>1</v>
      </c>
      <c r="G12" s="29">
        <v>2</v>
      </c>
      <c r="H12" s="29">
        <v>0</v>
      </c>
      <c r="I12" s="30" t="s">
        <v>240</v>
      </c>
    </row>
    <row r="13" spans="1:9" x14ac:dyDescent="0.25">
      <c r="A13" s="21">
        <v>3</v>
      </c>
      <c r="B13" s="22" t="s">
        <v>241</v>
      </c>
      <c r="C13" s="23">
        <v>10</v>
      </c>
      <c r="D13" s="24">
        <v>4</v>
      </c>
      <c r="E13" s="24">
        <v>5</v>
      </c>
      <c r="F13" s="24">
        <v>0</v>
      </c>
      <c r="G13" s="24">
        <v>1</v>
      </c>
      <c r="H13" s="24">
        <v>0</v>
      </c>
      <c r="I13" s="25" t="s">
        <v>242</v>
      </c>
    </row>
    <row r="14" spans="1:9" x14ac:dyDescent="0.25">
      <c r="A14" s="26">
        <v>4</v>
      </c>
      <c r="B14" s="27" t="s">
        <v>243</v>
      </c>
      <c r="C14" s="28">
        <v>14</v>
      </c>
      <c r="D14" s="29">
        <v>5</v>
      </c>
      <c r="E14" s="29">
        <v>6</v>
      </c>
      <c r="F14" s="29">
        <v>0</v>
      </c>
      <c r="G14" s="29">
        <v>3</v>
      </c>
      <c r="H14" s="29">
        <v>0</v>
      </c>
      <c r="I14" s="30" t="s">
        <v>244</v>
      </c>
    </row>
    <row r="15" spans="1:9" x14ac:dyDescent="0.25">
      <c r="A15" s="21">
        <v>5</v>
      </c>
      <c r="B15" s="22" t="s">
        <v>245</v>
      </c>
      <c r="C15" s="23">
        <v>5</v>
      </c>
      <c r="D15" s="24">
        <v>2</v>
      </c>
      <c r="E15" s="24">
        <v>2</v>
      </c>
      <c r="F15" s="24">
        <v>0</v>
      </c>
      <c r="G15" s="24">
        <v>1</v>
      </c>
      <c r="H15" s="24">
        <v>0</v>
      </c>
      <c r="I15" s="30" t="s">
        <v>244</v>
      </c>
    </row>
    <row r="16" spans="1:9" x14ac:dyDescent="0.25">
      <c r="A16" s="26">
        <v>6</v>
      </c>
      <c r="B16" s="27" t="s">
        <v>246</v>
      </c>
      <c r="C16" s="28">
        <v>3</v>
      </c>
      <c r="D16" s="29">
        <v>2</v>
      </c>
      <c r="E16" s="29">
        <v>1</v>
      </c>
      <c r="F16" s="29">
        <v>0</v>
      </c>
      <c r="G16" s="29">
        <v>0</v>
      </c>
      <c r="H16" s="29">
        <v>0</v>
      </c>
      <c r="I16" s="30" t="s">
        <v>247</v>
      </c>
    </row>
    <row r="17" spans="1:9" x14ac:dyDescent="0.25">
      <c r="A17" s="21">
        <v>7</v>
      </c>
      <c r="B17" s="22" t="s">
        <v>248</v>
      </c>
      <c r="C17" s="23">
        <v>15</v>
      </c>
      <c r="D17" s="24">
        <v>6</v>
      </c>
      <c r="E17" s="24">
        <v>7</v>
      </c>
      <c r="F17" s="24">
        <v>0</v>
      </c>
      <c r="G17" s="24">
        <v>2</v>
      </c>
      <c r="H17" s="24">
        <v>0</v>
      </c>
      <c r="I17" s="25" t="s">
        <v>249</v>
      </c>
    </row>
    <row r="18" spans="1:9" x14ac:dyDescent="0.25">
      <c r="A18" s="26">
        <v>8</v>
      </c>
      <c r="B18" s="27" t="s">
        <v>250</v>
      </c>
      <c r="C18" s="28">
        <v>5</v>
      </c>
      <c r="D18" s="29">
        <v>2</v>
      </c>
      <c r="E18" s="29">
        <v>3</v>
      </c>
      <c r="F18" s="29">
        <v>0</v>
      </c>
      <c r="G18" s="29">
        <v>0</v>
      </c>
      <c r="H18" s="29">
        <v>0</v>
      </c>
      <c r="I18" s="30" t="s">
        <v>251</v>
      </c>
    </row>
    <row r="19" spans="1:9" x14ac:dyDescent="0.25">
      <c r="A19" s="21">
        <v>9</v>
      </c>
      <c r="B19" s="22" t="s">
        <v>252</v>
      </c>
      <c r="C19" s="23">
        <v>2</v>
      </c>
      <c r="D19" s="24">
        <v>1</v>
      </c>
      <c r="E19" s="24">
        <v>1</v>
      </c>
      <c r="F19" s="24">
        <v>0</v>
      </c>
      <c r="G19" s="24">
        <v>0</v>
      </c>
      <c r="H19" s="24">
        <v>0</v>
      </c>
      <c r="I19" s="25" t="s">
        <v>253</v>
      </c>
    </row>
    <row r="20" spans="1:9" ht="18" customHeight="1" thickBot="1" x14ac:dyDescent="0.3">
      <c r="A20" s="26">
        <v>10</v>
      </c>
      <c r="B20" s="27" t="s">
        <v>254</v>
      </c>
      <c r="C20" s="28">
        <v>6</v>
      </c>
      <c r="D20" s="29">
        <v>2</v>
      </c>
      <c r="E20" s="29">
        <v>3</v>
      </c>
      <c r="F20" s="29">
        <v>0</v>
      </c>
      <c r="G20" s="29">
        <v>1</v>
      </c>
      <c r="H20" s="29">
        <v>0</v>
      </c>
      <c r="I20" s="30" t="s">
        <v>244</v>
      </c>
    </row>
    <row r="21" spans="1:9" ht="18" customHeight="1" thickBot="1" x14ac:dyDescent="0.25">
      <c r="A21" s="31"/>
      <c r="B21" s="32" t="s">
        <v>255</v>
      </c>
      <c r="C21" s="33">
        <f>SUM(C11:C20)</f>
        <v>112</v>
      </c>
      <c r="D21" s="33">
        <f>SUM(D11:D20)</f>
        <v>45</v>
      </c>
      <c r="E21" s="33">
        <f>SUM(E11:E20)</f>
        <v>54</v>
      </c>
      <c r="F21" s="33">
        <f>SUM(F11:F20)</f>
        <v>1</v>
      </c>
      <c r="G21" s="33">
        <f>SUM(G11:G20)</f>
        <v>12</v>
      </c>
      <c r="H21" s="33">
        <f>SUM(H11:H20)</f>
        <v>0</v>
      </c>
      <c r="I21" s="31"/>
    </row>
    <row r="22" spans="1:9" ht="18" customHeight="1" thickTop="1" x14ac:dyDescent="0.25"/>
  </sheetData>
  <mergeCells count="4">
    <mergeCell ref="A1:I1"/>
    <mergeCell ref="A4:I4"/>
    <mergeCell ref="A2:I2"/>
    <mergeCell ref="A9:I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1"/>
  <sheetViews>
    <sheetView tabSelected="1" topLeftCell="A3" workbookViewId="0">
      <selection activeCell="K10" sqref="K10"/>
    </sheetView>
  </sheetViews>
  <sheetFormatPr defaultRowHeight="16.5" x14ac:dyDescent="0.25"/>
  <cols>
    <col min="1" max="1" width="20.17578125" style="56" bestFit="1" customWidth="1"/>
    <col min="2" max="2" width="23.890625" style="56" bestFit="1" customWidth="1"/>
    <col min="3" max="3" width="9.16015625" style="56" bestFit="1" customWidth="1"/>
    <col min="4" max="4" width="7.55078125" style="56" bestFit="1" customWidth="1"/>
    <col min="5" max="6" width="6.43359375" style="56" bestFit="1" customWidth="1"/>
    <col min="7" max="7" width="7.42578125" style="56" bestFit="1" customWidth="1"/>
    <col min="8" max="9" width="6.43359375" style="56" bestFit="1" customWidth="1"/>
    <col min="10" max="10" width="16.83203125" style="56" bestFit="1" customWidth="1"/>
  </cols>
  <sheetData>
    <row r="1" spans="1:10" ht="19.149999999999999" customHeight="1" x14ac:dyDescent="0.25">
      <c r="A1" s="75" t="s">
        <v>0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34.9" customHeight="1" x14ac:dyDescent="0.35">
      <c r="A2" s="43" t="s">
        <v>1</v>
      </c>
      <c r="B2" s="43" t="s">
        <v>2</v>
      </c>
      <c r="C2" s="43" t="s">
        <v>3</v>
      </c>
      <c r="D2" s="43" t="s">
        <v>4</v>
      </c>
      <c r="E2" s="43" t="s">
        <v>5</v>
      </c>
      <c r="F2" s="43" t="s">
        <v>6</v>
      </c>
      <c r="G2" s="43" t="s">
        <v>7</v>
      </c>
      <c r="H2" s="43" t="s">
        <v>8</v>
      </c>
      <c r="I2" s="43" t="s">
        <v>9</v>
      </c>
      <c r="J2" s="43" t="s">
        <v>10</v>
      </c>
    </row>
    <row r="3" spans="1:10" ht="39.6" customHeight="1" x14ac:dyDescent="0.25">
      <c r="A3" s="44"/>
      <c r="B3" s="45"/>
      <c r="C3" s="34"/>
      <c r="D3" s="46"/>
      <c r="E3" s="46"/>
      <c r="F3" s="46"/>
      <c r="G3" s="46"/>
      <c r="H3" s="46"/>
      <c r="I3" s="46"/>
      <c r="J3" s="47"/>
    </row>
    <row r="4" spans="1:10" ht="26.45" customHeight="1" x14ac:dyDescent="0.3">
      <c r="A4" s="45" t="s">
        <v>11</v>
      </c>
      <c r="B4" s="44" t="s">
        <v>12</v>
      </c>
      <c r="C4" s="34" t="s">
        <v>13</v>
      </c>
      <c r="D4" s="46">
        <v>5</v>
      </c>
      <c r="E4" s="46">
        <v>1</v>
      </c>
      <c r="F4" s="46">
        <v>3</v>
      </c>
      <c r="G4" s="46">
        <v>0</v>
      </c>
      <c r="H4" s="46">
        <v>1</v>
      </c>
      <c r="I4" s="46">
        <v>0</v>
      </c>
      <c r="J4" s="47"/>
    </row>
    <row r="5" spans="1:10" ht="42" customHeight="1" x14ac:dyDescent="0.25">
      <c r="A5" s="45"/>
      <c r="B5" s="44"/>
      <c r="C5" s="34"/>
      <c r="D5" s="46"/>
      <c r="E5" s="46"/>
      <c r="F5" s="46"/>
      <c r="G5" s="46"/>
      <c r="H5" s="46"/>
      <c r="I5" s="46"/>
      <c r="J5" s="47"/>
    </row>
    <row r="6" spans="1:10" ht="26.45" customHeight="1" x14ac:dyDescent="0.25">
      <c r="A6" s="45"/>
      <c r="B6" s="45"/>
      <c r="C6" s="34"/>
      <c r="D6" s="46"/>
      <c r="E6" s="46"/>
      <c r="F6" s="46"/>
      <c r="G6" s="46"/>
      <c r="H6" s="46"/>
      <c r="I6" s="46"/>
      <c r="J6" s="47"/>
    </row>
    <row r="7" spans="1:10" ht="55.15" customHeight="1" x14ac:dyDescent="0.25">
      <c r="A7" s="44"/>
      <c r="B7" s="45"/>
      <c r="C7" s="34"/>
      <c r="D7" s="46"/>
      <c r="E7" s="46"/>
      <c r="F7" s="46"/>
      <c r="G7" s="46"/>
      <c r="H7" s="46"/>
      <c r="I7" s="46"/>
      <c r="J7" s="47"/>
    </row>
    <row r="8" spans="1:10" ht="18.75" x14ac:dyDescent="0.25">
      <c r="A8" s="79" t="s">
        <v>14</v>
      </c>
      <c r="B8" s="73"/>
      <c r="C8" s="74"/>
      <c r="D8" s="48">
        <f>SUM(D3:D7)</f>
        <v>5</v>
      </c>
      <c r="E8" s="48">
        <f>SUM(E3:E7)</f>
        <v>1</v>
      </c>
      <c r="F8" s="48">
        <f>SUM(F3:F7)</f>
        <v>3</v>
      </c>
      <c r="G8" s="48">
        <f>SUM(G3:G7)</f>
        <v>0</v>
      </c>
      <c r="H8" s="48">
        <f>SUM(H3:H7)</f>
        <v>1</v>
      </c>
      <c r="I8" s="48">
        <f>SUM(I3:I7)</f>
        <v>0</v>
      </c>
      <c r="J8" s="49"/>
    </row>
    <row r="9" spans="1:10" ht="18.75" x14ac:dyDescent="0.25">
      <c r="A9" s="80" t="s">
        <v>15</v>
      </c>
      <c r="B9" s="73"/>
      <c r="C9" s="74"/>
      <c r="D9" s="69">
        <f>IF($D$8=0,0,D8/$D$8)</f>
        <v>1</v>
      </c>
      <c r="E9" s="69">
        <f>IF($D$8=0,0,E8/$D$8)</f>
        <v>0.2</v>
      </c>
      <c r="F9" s="69">
        <f>IF($D$8=0,0,F8/$D$8)</f>
        <v>0.6</v>
      </c>
      <c r="G9" s="69">
        <f>IF($D$8=0,0,G8/$D$8)</f>
        <v>0</v>
      </c>
      <c r="H9" s="69">
        <f>IF($D$8=0,0,H8/$D$8)</f>
        <v>0.2</v>
      </c>
      <c r="I9" s="69">
        <f>IF($D$8=0,0,I8/$D$8)</f>
        <v>0</v>
      </c>
      <c r="J9" s="50"/>
    </row>
    <row r="11" spans="1:10" ht="19.149999999999999" customHeight="1" x14ac:dyDescent="0.25">
      <c r="A11" s="75" t="s">
        <v>16</v>
      </c>
      <c r="B11" s="76"/>
      <c r="C11" s="76"/>
      <c r="D11" s="76"/>
      <c r="E11" s="76"/>
      <c r="F11" s="76"/>
      <c r="G11" s="76"/>
      <c r="H11" s="76"/>
      <c r="I11" s="76"/>
      <c r="J11" s="76"/>
    </row>
    <row r="12" spans="1:10" ht="34.9" customHeight="1" x14ac:dyDescent="0.35">
      <c r="A12" s="43" t="s">
        <v>1</v>
      </c>
      <c r="B12" s="43" t="s">
        <v>2</v>
      </c>
      <c r="C12" s="43" t="s">
        <v>3</v>
      </c>
      <c r="D12" s="43" t="s">
        <v>4</v>
      </c>
      <c r="E12" s="43" t="s">
        <v>5</v>
      </c>
      <c r="F12" s="43" t="s">
        <v>6</v>
      </c>
      <c r="G12" s="43" t="s">
        <v>7</v>
      </c>
      <c r="H12" s="43" t="s">
        <v>8</v>
      </c>
      <c r="I12" s="43" t="s">
        <v>9</v>
      </c>
      <c r="J12" s="43" t="s">
        <v>10</v>
      </c>
    </row>
    <row r="13" spans="1:10" ht="26.45" customHeight="1" x14ac:dyDescent="0.3">
      <c r="A13" s="44" t="s">
        <v>17</v>
      </c>
      <c r="B13" s="44" t="s">
        <v>18</v>
      </c>
      <c r="C13" s="34" t="s">
        <v>19</v>
      </c>
      <c r="D13" s="46">
        <v>4</v>
      </c>
      <c r="E13" s="46">
        <v>2</v>
      </c>
      <c r="F13" s="46">
        <v>2</v>
      </c>
      <c r="G13" s="46">
        <v>0</v>
      </c>
      <c r="H13" s="46">
        <v>0</v>
      </c>
      <c r="I13" s="46">
        <v>0</v>
      </c>
      <c r="J13" s="47"/>
    </row>
    <row r="14" spans="1:10" ht="39.6" customHeight="1" x14ac:dyDescent="0.3">
      <c r="A14" s="44" t="s">
        <v>20</v>
      </c>
      <c r="B14" s="45" t="s">
        <v>21</v>
      </c>
      <c r="C14" s="34" t="s">
        <v>22</v>
      </c>
      <c r="D14" s="46">
        <v>8</v>
      </c>
      <c r="E14" s="46">
        <v>2</v>
      </c>
      <c r="F14" s="46">
        <v>4</v>
      </c>
      <c r="G14" s="46">
        <v>0</v>
      </c>
      <c r="H14" s="46">
        <v>2</v>
      </c>
      <c r="I14" s="46">
        <v>0</v>
      </c>
      <c r="J14" s="47"/>
    </row>
    <row r="15" spans="1:10" ht="39.6" customHeight="1" x14ac:dyDescent="0.3">
      <c r="A15" s="45" t="s">
        <v>11</v>
      </c>
      <c r="B15" s="45" t="s">
        <v>23</v>
      </c>
      <c r="C15" s="34" t="s">
        <v>24</v>
      </c>
      <c r="D15" s="46">
        <v>6</v>
      </c>
      <c r="E15" s="46">
        <v>2</v>
      </c>
      <c r="F15" s="46">
        <v>2</v>
      </c>
      <c r="G15" s="46">
        <v>1</v>
      </c>
      <c r="H15" s="46">
        <v>1</v>
      </c>
      <c r="I15" s="46">
        <v>0</v>
      </c>
      <c r="J15" s="47"/>
    </row>
    <row r="16" spans="1:10" ht="39.6" customHeight="1" x14ac:dyDescent="0.25">
      <c r="A16" s="59" t="s">
        <v>14</v>
      </c>
      <c r="B16" s="67"/>
      <c r="C16" s="68"/>
      <c r="D16" s="48">
        <f>SUM(D13:D15)</f>
        <v>18</v>
      </c>
      <c r="E16" s="48">
        <f>SUM(E13:E15)</f>
        <v>6</v>
      </c>
      <c r="F16" s="48">
        <f>SUM(F13:F15)</f>
        <v>8</v>
      </c>
      <c r="G16" s="48">
        <f>SUM(G13:G15)</f>
        <v>1</v>
      </c>
      <c r="H16" s="48">
        <f>SUM(H13:H15)</f>
        <v>3</v>
      </c>
      <c r="I16" s="48">
        <f>SUM(I13:I15)</f>
        <v>0</v>
      </c>
      <c r="J16" s="49"/>
    </row>
    <row r="17" spans="1:10" ht="18.75" x14ac:dyDescent="0.25">
      <c r="A17" s="80" t="s">
        <v>15</v>
      </c>
      <c r="B17" s="73"/>
      <c r="C17" s="74"/>
      <c r="D17" s="69">
        <f>IF($D$16=0,0,D16/$D$16)</f>
        <v>1</v>
      </c>
      <c r="E17" s="69">
        <f>IF($D$16=0,0,E16/$D$16)</f>
        <v>0.33333333333333331</v>
      </c>
      <c r="F17" s="69">
        <f>IF($D$16=0,0,F16/$D$16)</f>
        <v>0.44444444444444442</v>
      </c>
      <c r="G17" s="69">
        <f>IF($D$16=0,0,G16/$D$16)</f>
        <v>5.5555555555555552E-2</v>
      </c>
      <c r="H17" s="69">
        <f>IF($D$16=0,0,H16/$D$16)</f>
        <v>0.16666666666666666</v>
      </c>
      <c r="I17" s="69">
        <f>IF($D$16=0,0,I16/$D$16)</f>
        <v>0</v>
      </c>
      <c r="J17" s="50"/>
    </row>
    <row r="18" spans="1:10" x14ac:dyDescent="0.25">
      <c r="A18" s="76"/>
      <c r="B18" s="76"/>
      <c r="C18" s="76"/>
    </row>
    <row r="19" spans="1:10" ht="17.25" x14ac:dyDescent="0.25">
      <c r="A19" s="58" t="s">
        <v>25</v>
      </c>
    </row>
    <row r="20" spans="1:10" ht="19.149999999999999" customHeight="1" x14ac:dyDescent="0.25">
      <c r="A20" s="77" t="s">
        <v>1</v>
      </c>
      <c r="B20" s="73"/>
      <c r="C20" s="73"/>
      <c r="D20" s="73"/>
      <c r="E20" s="73"/>
      <c r="F20" s="73"/>
      <c r="G20" s="73"/>
      <c r="H20" s="73"/>
      <c r="I20" s="73"/>
      <c r="J20" s="74"/>
    </row>
    <row r="21" spans="1:10" ht="34.9" customHeight="1" x14ac:dyDescent="0.3">
      <c r="A21" s="45" t="s">
        <v>26</v>
      </c>
      <c r="B21" s="45" t="s">
        <v>27</v>
      </c>
      <c r="C21" s="34" t="s">
        <v>28</v>
      </c>
      <c r="D21" s="46">
        <v>6</v>
      </c>
      <c r="E21" s="46">
        <v>2</v>
      </c>
      <c r="F21" s="46">
        <v>3</v>
      </c>
      <c r="G21" s="46">
        <v>0</v>
      </c>
      <c r="H21" s="46">
        <v>1</v>
      </c>
      <c r="I21" s="46">
        <v>0</v>
      </c>
      <c r="J21" s="47"/>
    </row>
    <row r="22" spans="1:10" ht="26.45" customHeight="1" x14ac:dyDescent="0.3">
      <c r="A22" s="45" t="s">
        <v>29</v>
      </c>
      <c r="B22" s="44" t="s">
        <v>30</v>
      </c>
      <c r="C22" s="34" t="s">
        <v>31</v>
      </c>
      <c r="D22" s="46">
        <v>6</v>
      </c>
      <c r="E22" s="46">
        <v>2</v>
      </c>
      <c r="F22" s="46">
        <v>3</v>
      </c>
      <c r="G22" s="46">
        <v>0</v>
      </c>
      <c r="H22" s="46">
        <v>1</v>
      </c>
      <c r="I22" s="46">
        <v>0</v>
      </c>
      <c r="J22" s="47"/>
    </row>
    <row r="23" spans="1:10" ht="42" customHeight="1" x14ac:dyDescent="0.3">
      <c r="A23" s="45" t="s">
        <v>32</v>
      </c>
      <c r="B23" s="44" t="s">
        <v>33</v>
      </c>
      <c r="C23" s="34" t="s">
        <v>34</v>
      </c>
      <c r="D23" s="46">
        <v>7</v>
      </c>
      <c r="E23" s="46">
        <v>2</v>
      </c>
      <c r="F23" s="46">
        <v>3</v>
      </c>
      <c r="G23" s="46">
        <v>1</v>
      </c>
      <c r="H23" s="46">
        <v>1</v>
      </c>
      <c r="I23" s="46">
        <v>0</v>
      </c>
      <c r="J23" s="47"/>
    </row>
    <row r="24" spans="1:10" ht="26.45" customHeight="1" x14ac:dyDescent="0.3">
      <c r="A24" s="45" t="s">
        <v>35</v>
      </c>
      <c r="B24" s="44" t="s">
        <v>36</v>
      </c>
      <c r="C24" s="34" t="s">
        <v>37</v>
      </c>
      <c r="D24" s="46">
        <v>3</v>
      </c>
      <c r="E24" s="46">
        <v>1</v>
      </c>
      <c r="F24" s="46">
        <v>1</v>
      </c>
      <c r="G24" s="46">
        <v>1</v>
      </c>
      <c r="H24" s="46">
        <v>0</v>
      </c>
      <c r="I24" s="46">
        <v>0</v>
      </c>
      <c r="J24" s="47"/>
    </row>
    <row r="25" spans="1:10" ht="28.9" customHeight="1" x14ac:dyDescent="0.3">
      <c r="A25" s="45" t="s">
        <v>38</v>
      </c>
      <c r="B25" s="44" t="s">
        <v>39</v>
      </c>
      <c r="C25" s="34" t="s">
        <v>40</v>
      </c>
      <c r="D25" s="46">
        <v>4</v>
      </c>
      <c r="E25" s="46">
        <v>1</v>
      </c>
      <c r="F25" s="46">
        <v>2</v>
      </c>
      <c r="G25" s="46">
        <v>0</v>
      </c>
      <c r="H25" s="46">
        <v>1</v>
      </c>
      <c r="I25" s="46">
        <v>0</v>
      </c>
      <c r="J25" s="47"/>
    </row>
    <row r="26" spans="1:10" ht="52.9" customHeight="1" x14ac:dyDescent="0.3">
      <c r="A26" s="44" t="s">
        <v>41</v>
      </c>
      <c r="B26" s="44" t="s">
        <v>42</v>
      </c>
      <c r="C26" s="34" t="s">
        <v>43</v>
      </c>
      <c r="D26" s="46">
        <v>2</v>
      </c>
      <c r="E26" s="46">
        <v>1</v>
      </c>
      <c r="F26" s="46">
        <v>1</v>
      </c>
      <c r="G26" s="46">
        <v>0</v>
      </c>
      <c r="H26" s="46">
        <v>0</v>
      </c>
      <c r="I26" s="46">
        <v>0</v>
      </c>
      <c r="J26" s="47"/>
    </row>
    <row r="27" spans="1:10" ht="26.45" customHeight="1" x14ac:dyDescent="0.25">
      <c r="A27" s="59" t="s">
        <v>14</v>
      </c>
      <c r="B27" s="67"/>
      <c r="C27" s="68"/>
      <c r="D27" s="48">
        <f>SUM(D21:D26)</f>
        <v>28</v>
      </c>
      <c r="E27" s="48">
        <f>SUM(E21:E26)</f>
        <v>9</v>
      </c>
      <c r="F27" s="48">
        <f>SUM(F21:F26)</f>
        <v>13</v>
      </c>
      <c r="G27" s="48">
        <f>SUM(G21:G26)</f>
        <v>2</v>
      </c>
      <c r="H27" s="48">
        <f>SUM(H21:H26)</f>
        <v>4</v>
      </c>
      <c r="I27" s="48">
        <f>SUM(I21:I26)</f>
        <v>0</v>
      </c>
      <c r="J27" s="49"/>
    </row>
    <row r="28" spans="1:10" ht="18.75" x14ac:dyDescent="0.25">
      <c r="A28" s="80" t="s">
        <v>15</v>
      </c>
      <c r="B28" s="73"/>
      <c r="C28" s="74"/>
      <c r="D28" s="69">
        <f>IF($D$27=0,0,D27/$D$27)</f>
        <v>1</v>
      </c>
      <c r="E28" s="69">
        <f>IF($D$27=0,0,E27/$D$27)</f>
        <v>0.32142857142857145</v>
      </c>
      <c r="F28" s="69">
        <f>IF($D$27=0,0,F27/$D$27)</f>
        <v>0.4642857142857143</v>
      </c>
      <c r="G28" s="69">
        <f>IF($D$27=0,0,G27/$D$27)</f>
        <v>7.1428571428571425E-2</v>
      </c>
      <c r="H28" s="69">
        <f>IF($D$27=0,0,H27/$D$27)</f>
        <v>0.14285714285714285</v>
      </c>
      <c r="I28" s="69">
        <f>IF($D$27=0,0,I27/$D$27)</f>
        <v>0</v>
      </c>
      <c r="J28" s="50"/>
    </row>
    <row r="29" spans="1:10" x14ac:dyDescent="0.25">
      <c r="A29" s="76"/>
      <c r="B29" s="76"/>
      <c r="C29" s="76"/>
    </row>
    <row r="30" spans="1:10" ht="17.25" x14ac:dyDescent="0.25">
      <c r="A30" s="58" t="s">
        <v>44</v>
      </c>
    </row>
    <row r="31" spans="1:10" ht="19.149999999999999" customHeight="1" x14ac:dyDescent="0.25">
      <c r="A31" s="77" t="s">
        <v>1</v>
      </c>
      <c r="B31" s="73"/>
      <c r="C31" s="73"/>
      <c r="D31" s="73"/>
      <c r="E31" s="73"/>
      <c r="F31" s="73"/>
      <c r="G31" s="73"/>
      <c r="H31" s="73"/>
      <c r="I31" s="73"/>
      <c r="J31" s="74"/>
    </row>
    <row r="32" spans="1:10" ht="34.9" customHeight="1" x14ac:dyDescent="0.3">
      <c r="A32" s="45" t="s">
        <v>45</v>
      </c>
      <c r="B32" s="45" t="s">
        <v>23</v>
      </c>
      <c r="C32" s="34" t="s">
        <v>46</v>
      </c>
      <c r="D32" s="46">
        <v>4</v>
      </c>
      <c r="E32" s="46">
        <v>1</v>
      </c>
      <c r="F32" s="46">
        <v>2</v>
      </c>
      <c r="G32" s="46">
        <v>1</v>
      </c>
      <c r="H32" s="46">
        <v>0</v>
      </c>
      <c r="I32" s="46">
        <v>0</v>
      </c>
      <c r="J32" s="47"/>
    </row>
    <row r="33" spans="1:10" ht="28.9" customHeight="1" x14ac:dyDescent="0.3">
      <c r="A33" s="45" t="s">
        <v>47</v>
      </c>
      <c r="B33" s="45" t="s">
        <v>23</v>
      </c>
      <c r="C33" s="34" t="s">
        <v>24</v>
      </c>
      <c r="D33" s="46">
        <v>5</v>
      </c>
      <c r="E33" s="46">
        <v>1</v>
      </c>
      <c r="F33" s="46">
        <v>2</v>
      </c>
      <c r="G33" s="46">
        <v>1</v>
      </c>
      <c r="H33" s="46">
        <v>1</v>
      </c>
      <c r="I33" s="46">
        <v>0</v>
      </c>
      <c r="J33" s="47"/>
    </row>
    <row r="34" spans="1:10" ht="39.6" customHeight="1" x14ac:dyDescent="0.3">
      <c r="A34" s="45" t="s">
        <v>29</v>
      </c>
      <c r="B34" s="44" t="s">
        <v>48</v>
      </c>
      <c r="C34" s="34" t="s">
        <v>49</v>
      </c>
      <c r="D34" s="46">
        <v>7</v>
      </c>
      <c r="E34" s="46">
        <v>2</v>
      </c>
      <c r="F34" s="46">
        <v>3</v>
      </c>
      <c r="G34" s="46">
        <v>1</v>
      </c>
      <c r="H34" s="46">
        <v>1</v>
      </c>
      <c r="I34" s="46">
        <v>0</v>
      </c>
      <c r="J34" s="47"/>
    </row>
    <row r="35" spans="1:10" ht="42" customHeight="1" x14ac:dyDescent="0.3">
      <c r="A35" s="44" t="s">
        <v>50</v>
      </c>
      <c r="B35" s="44" t="s">
        <v>51</v>
      </c>
      <c r="C35" s="34" t="s">
        <v>52</v>
      </c>
      <c r="D35" s="46">
        <v>2</v>
      </c>
      <c r="E35" s="46">
        <v>1</v>
      </c>
      <c r="F35" s="46">
        <v>1</v>
      </c>
      <c r="G35" s="46">
        <v>0</v>
      </c>
      <c r="H35" s="46">
        <v>0</v>
      </c>
      <c r="I35" s="46">
        <v>0</v>
      </c>
      <c r="J35" s="47"/>
    </row>
    <row r="36" spans="1:10" ht="39.6" customHeight="1" x14ac:dyDescent="0.3">
      <c r="A36" s="44" t="s">
        <v>53</v>
      </c>
      <c r="B36" s="44" t="s">
        <v>12</v>
      </c>
      <c r="C36" s="34" t="s">
        <v>54</v>
      </c>
      <c r="D36" s="46">
        <v>2</v>
      </c>
      <c r="E36" s="46">
        <v>1</v>
      </c>
      <c r="F36" s="46">
        <v>1</v>
      </c>
      <c r="G36" s="46">
        <v>0</v>
      </c>
      <c r="H36" s="46">
        <v>0</v>
      </c>
      <c r="I36" s="46">
        <v>0</v>
      </c>
      <c r="J36" s="47"/>
    </row>
    <row r="37" spans="1:10" ht="28.9" customHeight="1" x14ac:dyDescent="0.3">
      <c r="A37" s="44" t="s">
        <v>53</v>
      </c>
      <c r="B37" s="45" t="s">
        <v>23</v>
      </c>
      <c r="C37" s="34" t="s">
        <v>46</v>
      </c>
      <c r="D37" s="46">
        <v>4</v>
      </c>
      <c r="E37" s="46">
        <v>1</v>
      </c>
      <c r="F37" s="46">
        <v>2</v>
      </c>
      <c r="G37" s="46">
        <v>0</v>
      </c>
      <c r="H37" s="46">
        <v>1</v>
      </c>
      <c r="I37" s="46">
        <v>0</v>
      </c>
      <c r="J37" s="47"/>
    </row>
    <row r="38" spans="1:10" ht="28.9" customHeight="1" x14ac:dyDescent="0.25">
      <c r="A38" s="59" t="s">
        <v>14</v>
      </c>
      <c r="B38" s="67"/>
      <c r="C38" s="68"/>
      <c r="D38" s="48">
        <f>SUM(D32:D37)</f>
        <v>24</v>
      </c>
      <c r="E38" s="48">
        <f>SUM(E32:E37)</f>
        <v>7</v>
      </c>
      <c r="F38" s="48">
        <f>SUM(F32:F37)</f>
        <v>11</v>
      </c>
      <c r="G38" s="48">
        <f>SUM(G32:G37)</f>
        <v>3</v>
      </c>
      <c r="H38" s="48">
        <f>SUM(H32:H37)</f>
        <v>3</v>
      </c>
      <c r="I38" s="48">
        <f>SUM(I32:I37)</f>
        <v>0</v>
      </c>
      <c r="J38" s="49"/>
    </row>
    <row r="39" spans="1:10" ht="66" customHeight="1" x14ac:dyDescent="0.25">
      <c r="A39" s="57" t="s">
        <v>15</v>
      </c>
      <c r="B39" s="67"/>
      <c r="C39" s="68"/>
      <c r="D39" s="69">
        <f>IF($D$38=0,0,D38/$D$38)</f>
        <v>1</v>
      </c>
      <c r="E39" s="69">
        <f>IF($D$38=0,0,E38/$D$38)</f>
        <v>0.29166666666666669</v>
      </c>
      <c r="F39" s="69">
        <f>IF($D$38=0,0,F38/$D$38)</f>
        <v>0.45833333333333331</v>
      </c>
      <c r="G39" s="69">
        <f>IF($D$38=0,0,G38/$D$38)</f>
        <v>0.125</v>
      </c>
      <c r="H39" s="69">
        <f>IF($D$38=0,0,H38/$D$38)</f>
        <v>0.125</v>
      </c>
      <c r="I39" s="69">
        <f>IF($D$38=0,0,I38/$D$38)</f>
        <v>0</v>
      </c>
      <c r="J39" s="50"/>
    </row>
    <row r="40" spans="1:10" x14ac:dyDescent="0.25">
      <c r="A40" s="76"/>
      <c r="B40" s="76"/>
      <c r="C40" s="76"/>
    </row>
    <row r="41" spans="1:10" ht="17.25" x14ac:dyDescent="0.25">
      <c r="A41" s="75" t="s">
        <v>55</v>
      </c>
      <c r="B41" s="76"/>
      <c r="C41" s="76"/>
    </row>
    <row r="42" spans="1:10" ht="18" x14ac:dyDescent="0.35">
      <c r="A42" s="43" t="s">
        <v>1</v>
      </c>
      <c r="B42" s="67"/>
      <c r="C42" s="67"/>
      <c r="D42" s="67"/>
      <c r="E42" s="67"/>
      <c r="F42" s="67"/>
      <c r="G42" s="67"/>
      <c r="H42" s="67"/>
      <c r="I42" s="67"/>
      <c r="J42" s="68"/>
    </row>
    <row r="43" spans="1:10" ht="19.149999999999999" customHeight="1" x14ac:dyDescent="0.25">
      <c r="A43" s="78" t="s">
        <v>56</v>
      </c>
      <c r="B43" s="73"/>
      <c r="C43" s="73"/>
      <c r="D43" s="73"/>
      <c r="E43" s="73"/>
      <c r="F43" s="73"/>
      <c r="G43" s="73"/>
      <c r="H43" s="73"/>
      <c r="I43" s="73"/>
      <c r="J43" s="74"/>
    </row>
    <row r="44" spans="1:10" ht="34.9" customHeight="1" x14ac:dyDescent="0.3">
      <c r="A44" s="44" t="s">
        <v>57</v>
      </c>
      <c r="B44" s="44" t="s">
        <v>58</v>
      </c>
      <c r="C44" s="34" t="s">
        <v>59</v>
      </c>
      <c r="D44" s="46">
        <v>4</v>
      </c>
      <c r="E44" s="46">
        <v>1</v>
      </c>
      <c r="F44" s="46">
        <v>1</v>
      </c>
      <c r="G44" s="46">
        <v>0</v>
      </c>
      <c r="H44" s="46">
        <v>2</v>
      </c>
      <c r="I44" s="46">
        <v>0</v>
      </c>
      <c r="J44" s="47"/>
    </row>
    <row r="45" spans="1:10" ht="42" customHeight="1" x14ac:dyDescent="0.3">
      <c r="A45" s="45" t="s">
        <v>29</v>
      </c>
      <c r="B45" s="44" t="s">
        <v>30</v>
      </c>
      <c r="C45" s="34" t="s">
        <v>31</v>
      </c>
      <c r="D45" s="46">
        <v>6</v>
      </c>
      <c r="E45" s="46">
        <v>2</v>
      </c>
      <c r="F45" s="46">
        <v>3</v>
      </c>
      <c r="G45" s="46">
        <v>0</v>
      </c>
      <c r="H45" s="46">
        <v>1</v>
      </c>
      <c r="I45" s="46">
        <v>0</v>
      </c>
      <c r="J45" s="47"/>
    </row>
    <row r="46" spans="1:10" ht="42" customHeight="1" x14ac:dyDescent="0.3">
      <c r="A46" s="44" t="s">
        <v>60</v>
      </c>
      <c r="B46" s="44" t="s">
        <v>61</v>
      </c>
      <c r="C46" s="34" t="s">
        <v>62</v>
      </c>
      <c r="D46" s="46">
        <v>5</v>
      </c>
      <c r="E46" s="46">
        <v>1</v>
      </c>
      <c r="F46" s="46">
        <v>2</v>
      </c>
      <c r="G46" s="46">
        <v>0</v>
      </c>
      <c r="H46" s="46">
        <v>2</v>
      </c>
      <c r="I46" s="46">
        <v>0</v>
      </c>
      <c r="J46" s="47"/>
    </row>
    <row r="47" spans="1:10" ht="42" customHeight="1" x14ac:dyDescent="0.25">
      <c r="A47" s="59" t="s">
        <v>14</v>
      </c>
      <c r="B47" s="67"/>
      <c r="C47" s="68"/>
      <c r="D47" s="48">
        <f>SUM(D44:D46)</f>
        <v>15</v>
      </c>
      <c r="E47" s="48">
        <f>SUM(E44:E46)</f>
        <v>4</v>
      </c>
      <c r="F47" s="48">
        <f>SUM(F44:F46)</f>
        <v>6</v>
      </c>
      <c r="G47" s="48">
        <f>SUM(G44:G46)</f>
        <v>0</v>
      </c>
      <c r="H47" s="48">
        <f>SUM(H44:H46)</f>
        <v>5</v>
      </c>
      <c r="I47" s="48">
        <f>SUM(I44:I46)</f>
        <v>0</v>
      </c>
      <c r="J47" s="49"/>
    </row>
    <row r="48" spans="1:10" ht="42" customHeight="1" x14ac:dyDescent="0.25">
      <c r="A48" s="57" t="s">
        <v>15</v>
      </c>
      <c r="B48" s="67"/>
      <c r="C48" s="68"/>
      <c r="D48" s="69">
        <f>IF($D$47=0,0,D47/$D$47)</f>
        <v>1</v>
      </c>
      <c r="E48" s="69">
        <f>IF($D$47=0,0,E47/$D$47)</f>
        <v>0.26666666666666666</v>
      </c>
      <c r="F48" s="69">
        <f>IF($D$47=0,0,F47/$D$47)</f>
        <v>0.4</v>
      </c>
      <c r="G48" s="69">
        <f>IF($D$47=0,0,G47/$D$47)</f>
        <v>0</v>
      </c>
      <c r="H48" s="69">
        <f>IF($D$47=0,0,H47/$D$47)</f>
        <v>0.33333333333333331</v>
      </c>
      <c r="I48" s="69">
        <f>IF($D$47=0,0,I47/$D$47)</f>
        <v>0</v>
      </c>
      <c r="J48" s="50"/>
    </row>
    <row r="49" spans="1:10" x14ac:dyDescent="0.25">
      <c r="A49" s="76"/>
      <c r="B49" s="76"/>
      <c r="C49" s="76"/>
    </row>
    <row r="50" spans="1:10" ht="17.25" x14ac:dyDescent="0.25">
      <c r="A50" s="75" t="s">
        <v>63</v>
      </c>
      <c r="B50" s="76"/>
      <c r="C50" s="76"/>
    </row>
    <row r="51" spans="1:10" ht="18" x14ac:dyDescent="0.35">
      <c r="A51" s="43" t="s">
        <v>1</v>
      </c>
      <c r="B51" s="67"/>
      <c r="C51" s="67"/>
      <c r="D51" s="67"/>
      <c r="E51" s="67"/>
      <c r="F51" s="67"/>
      <c r="G51" s="67"/>
      <c r="H51" s="67"/>
      <c r="I51" s="67"/>
      <c r="J51" s="68"/>
    </row>
    <row r="52" spans="1:10" ht="19.149999999999999" customHeight="1" x14ac:dyDescent="0.25">
      <c r="A52" s="72" t="s">
        <v>64</v>
      </c>
      <c r="B52" s="73"/>
      <c r="C52" s="73"/>
      <c r="D52" s="73"/>
      <c r="E52" s="73"/>
      <c r="F52" s="73"/>
      <c r="G52" s="73"/>
      <c r="H52" s="73"/>
      <c r="I52" s="73"/>
      <c r="J52" s="74"/>
    </row>
    <row r="53" spans="1:10" ht="34.9" customHeight="1" x14ac:dyDescent="0.3">
      <c r="A53" s="45" t="s">
        <v>26</v>
      </c>
      <c r="B53" s="45" t="s">
        <v>27</v>
      </c>
      <c r="C53" s="34" t="s">
        <v>28</v>
      </c>
      <c r="D53" s="46">
        <v>6</v>
      </c>
      <c r="E53" s="46">
        <v>2</v>
      </c>
      <c r="F53" s="46">
        <v>3</v>
      </c>
      <c r="G53" s="46">
        <v>0</v>
      </c>
      <c r="H53" s="46">
        <v>1</v>
      </c>
      <c r="I53" s="46">
        <v>0</v>
      </c>
      <c r="J53" s="47"/>
    </row>
    <row r="54" spans="1:10" ht="55.15" customHeight="1" x14ac:dyDescent="0.3">
      <c r="A54" s="44" t="s">
        <v>65</v>
      </c>
      <c r="B54" s="45" t="s">
        <v>66</v>
      </c>
      <c r="C54" s="34" t="s">
        <v>67</v>
      </c>
      <c r="D54" s="46">
        <v>1</v>
      </c>
      <c r="E54" s="46">
        <v>1</v>
      </c>
      <c r="F54" s="46">
        <v>0</v>
      </c>
      <c r="G54" s="46">
        <v>0</v>
      </c>
      <c r="H54" s="46">
        <v>0</v>
      </c>
      <c r="I54" s="46">
        <v>0</v>
      </c>
      <c r="J54" s="47"/>
    </row>
    <row r="55" spans="1:10" ht="26.45" customHeight="1" x14ac:dyDescent="0.3">
      <c r="A55" s="45" t="s">
        <v>68</v>
      </c>
      <c r="B55" s="44" t="s">
        <v>69</v>
      </c>
      <c r="C55" s="34" t="s">
        <v>70</v>
      </c>
      <c r="D55" s="46">
        <v>3</v>
      </c>
      <c r="E55" s="46">
        <v>1</v>
      </c>
      <c r="F55" s="46">
        <v>1</v>
      </c>
      <c r="G55" s="46">
        <v>0</v>
      </c>
      <c r="H55" s="46">
        <v>1</v>
      </c>
      <c r="I55" s="46">
        <v>0</v>
      </c>
      <c r="J55" s="47"/>
    </row>
    <row r="56" spans="1:10" ht="44.25" x14ac:dyDescent="0.3">
      <c r="A56" s="44" t="s">
        <v>71</v>
      </c>
      <c r="B56" s="45" t="s">
        <v>72</v>
      </c>
      <c r="C56" s="34" t="s">
        <v>73</v>
      </c>
      <c r="D56" s="46">
        <v>2</v>
      </c>
      <c r="E56" s="46">
        <v>1</v>
      </c>
      <c r="F56" s="46">
        <v>1</v>
      </c>
      <c r="G56" s="46">
        <v>0</v>
      </c>
      <c r="H56" s="46">
        <v>0</v>
      </c>
      <c r="I56" s="46">
        <v>0</v>
      </c>
      <c r="J56" s="47"/>
    </row>
    <row r="57" spans="1:10" ht="26.45" customHeight="1" x14ac:dyDescent="0.3">
      <c r="A57" s="44" t="s">
        <v>17</v>
      </c>
      <c r="B57" s="44" t="s">
        <v>74</v>
      </c>
      <c r="C57" s="34" t="s">
        <v>75</v>
      </c>
      <c r="D57" s="46">
        <v>4</v>
      </c>
      <c r="E57" s="46">
        <v>2</v>
      </c>
      <c r="F57" s="46">
        <v>1</v>
      </c>
      <c r="G57" s="46">
        <v>1</v>
      </c>
      <c r="H57" s="46">
        <v>0</v>
      </c>
      <c r="I57" s="46">
        <v>0</v>
      </c>
      <c r="J57" s="47"/>
    </row>
    <row r="58" spans="1:10" ht="39.6" customHeight="1" x14ac:dyDescent="0.3">
      <c r="A58" s="45" t="s">
        <v>29</v>
      </c>
      <c r="B58" s="44" t="s">
        <v>48</v>
      </c>
      <c r="C58" s="34" t="s">
        <v>49</v>
      </c>
      <c r="D58" s="46">
        <v>7</v>
      </c>
      <c r="E58" s="46">
        <v>2</v>
      </c>
      <c r="F58" s="46">
        <v>3</v>
      </c>
      <c r="G58" s="46">
        <v>1</v>
      </c>
      <c r="H58" s="46">
        <v>1</v>
      </c>
      <c r="I58" s="46">
        <v>0</v>
      </c>
      <c r="J58" s="47"/>
    </row>
    <row r="59" spans="1:10" ht="39.6" customHeight="1" x14ac:dyDescent="0.3">
      <c r="A59" s="45" t="s">
        <v>76</v>
      </c>
      <c r="B59" s="45" t="s">
        <v>23</v>
      </c>
      <c r="C59" s="34" t="s">
        <v>77</v>
      </c>
      <c r="D59" s="46">
        <v>4</v>
      </c>
      <c r="E59" s="46">
        <v>1</v>
      </c>
      <c r="F59" s="46">
        <v>2</v>
      </c>
      <c r="G59" s="46">
        <v>0</v>
      </c>
      <c r="H59" s="46">
        <v>1</v>
      </c>
      <c r="I59" s="46">
        <v>0</v>
      </c>
      <c r="J59" s="47"/>
    </row>
    <row r="60" spans="1:10" ht="42" customHeight="1" x14ac:dyDescent="0.3">
      <c r="A60" s="44" t="s">
        <v>17</v>
      </c>
      <c r="B60" s="45" t="s">
        <v>78</v>
      </c>
      <c r="C60" s="34" t="s">
        <v>79</v>
      </c>
      <c r="D60" s="46">
        <v>6</v>
      </c>
      <c r="E60" s="46">
        <v>1</v>
      </c>
      <c r="F60" s="46">
        <v>2</v>
      </c>
      <c r="G60" s="46">
        <v>2</v>
      </c>
      <c r="H60" s="46">
        <v>1</v>
      </c>
      <c r="I60" s="46">
        <v>0</v>
      </c>
      <c r="J60" s="47"/>
    </row>
    <row r="61" spans="1:10" ht="39.6" customHeight="1" x14ac:dyDescent="0.3">
      <c r="A61" s="44" t="s">
        <v>56</v>
      </c>
      <c r="B61" s="44" t="s">
        <v>30</v>
      </c>
      <c r="C61" s="34" t="s">
        <v>31</v>
      </c>
      <c r="D61" s="46">
        <v>2</v>
      </c>
      <c r="E61" s="46">
        <v>1</v>
      </c>
      <c r="F61" s="46">
        <v>1</v>
      </c>
      <c r="G61" s="46">
        <v>0</v>
      </c>
      <c r="H61" s="46">
        <v>0</v>
      </c>
      <c r="I61" s="46">
        <v>0</v>
      </c>
      <c r="J61" s="47"/>
    </row>
    <row r="62" spans="1:10" ht="28.9" customHeight="1" x14ac:dyDescent="0.3">
      <c r="A62" s="44" t="s">
        <v>80</v>
      </c>
      <c r="B62" s="45" t="s">
        <v>81</v>
      </c>
      <c r="C62" s="34" t="s">
        <v>82</v>
      </c>
      <c r="D62" s="46">
        <v>3</v>
      </c>
      <c r="E62" s="46">
        <v>1</v>
      </c>
      <c r="F62" s="46">
        <v>1</v>
      </c>
      <c r="G62" s="46">
        <v>0</v>
      </c>
      <c r="H62" s="46">
        <v>1</v>
      </c>
      <c r="I62" s="46">
        <v>0</v>
      </c>
      <c r="J62" s="47"/>
    </row>
    <row r="63" spans="1:10" ht="42" customHeight="1" x14ac:dyDescent="0.3">
      <c r="A63" s="45" t="s">
        <v>83</v>
      </c>
      <c r="B63" s="44" t="s">
        <v>84</v>
      </c>
      <c r="C63" s="34" t="s">
        <v>85</v>
      </c>
      <c r="D63" s="46">
        <v>4</v>
      </c>
      <c r="E63" s="46">
        <v>1</v>
      </c>
      <c r="F63" s="46">
        <v>2</v>
      </c>
      <c r="G63" s="46">
        <v>0</v>
      </c>
      <c r="H63" s="46">
        <v>1</v>
      </c>
      <c r="I63" s="46">
        <v>0</v>
      </c>
      <c r="J63" s="47"/>
    </row>
    <row r="64" spans="1:10" ht="28.9" customHeight="1" x14ac:dyDescent="0.25">
      <c r="A64" s="59" t="s">
        <v>14</v>
      </c>
      <c r="B64" s="67"/>
      <c r="C64" s="68"/>
      <c r="D64" s="48">
        <f>SUM(D53:D63)</f>
        <v>42</v>
      </c>
      <c r="E64" s="48">
        <f>SUM(E53:E63)</f>
        <v>14</v>
      </c>
      <c r="F64" s="48">
        <f>SUM(F53:F63)</f>
        <v>17</v>
      </c>
      <c r="G64" s="48">
        <f>SUM(G53:G63)</f>
        <v>4</v>
      </c>
      <c r="H64" s="48">
        <f>SUM(H53:H63)</f>
        <v>7</v>
      </c>
      <c r="I64" s="48">
        <f>SUM(I53:I63)</f>
        <v>0</v>
      </c>
      <c r="J64" s="49"/>
    </row>
    <row r="65" spans="1:10" ht="26.45" customHeight="1" x14ac:dyDescent="0.25">
      <c r="A65" s="57" t="s">
        <v>15</v>
      </c>
      <c r="B65" s="67"/>
      <c r="C65" s="68"/>
      <c r="D65" s="69">
        <f>IF($D$64=0,0,D64/$D$64)</f>
        <v>1</v>
      </c>
      <c r="E65" s="69">
        <f>IF($D$64=0,0,E64/$D$64)</f>
        <v>0.33333333333333331</v>
      </c>
      <c r="F65" s="69">
        <f>IF($D$64=0,0,F64/$D$64)</f>
        <v>0.40476190476190477</v>
      </c>
      <c r="G65" s="69">
        <f>IF($D$64=0,0,G64/$D$64)</f>
        <v>9.5238095238095233E-2</v>
      </c>
      <c r="H65" s="69">
        <f>IF($D$64=0,0,H64/$D$64)</f>
        <v>0.16666666666666666</v>
      </c>
      <c r="I65" s="69">
        <f>IF($D$64=0,0,I64/$D$64)</f>
        <v>0</v>
      </c>
      <c r="J65" s="50"/>
    </row>
    <row r="66" spans="1:10" x14ac:dyDescent="0.25">
      <c r="A66" s="76"/>
      <c r="B66" s="76"/>
      <c r="C66" s="76"/>
    </row>
    <row r="67" spans="1:10" ht="17.25" x14ac:dyDescent="0.25">
      <c r="A67" s="75" t="s">
        <v>86</v>
      </c>
      <c r="B67" s="76"/>
      <c r="C67" s="76"/>
    </row>
    <row r="68" spans="1:10" ht="18" x14ac:dyDescent="0.35">
      <c r="A68" s="43" t="s">
        <v>1</v>
      </c>
      <c r="B68" s="67"/>
      <c r="C68" s="67"/>
      <c r="D68" s="67"/>
      <c r="E68" s="67"/>
      <c r="F68" s="67"/>
      <c r="G68" s="67"/>
      <c r="H68" s="67"/>
      <c r="I68" s="67"/>
      <c r="J68" s="68"/>
    </row>
    <row r="69" spans="1:10" ht="19.149999999999999" customHeight="1" x14ac:dyDescent="0.25">
      <c r="A69" s="78" t="s">
        <v>87</v>
      </c>
      <c r="B69" s="73"/>
      <c r="C69" s="73"/>
      <c r="D69" s="73"/>
      <c r="E69" s="73"/>
      <c r="F69" s="73"/>
      <c r="G69" s="73"/>
      <c r="H69" s="73"/>
      <c r="I69" s="73"/>
      <c r="J69" s="74"/>
    </row>
    <row r="70" spans="1:10" ht="34.9" customHeight="1" x14ac:dyDescent="0.3">
      <c r="A70" s="44" t="s">
        <v>56</v>
      </c>
      <c r="B70" s="45" t="s">
        <v>23</v>
      </c>
      <c r="C70" s="34" t="s">
        <v>88</v>
      </c>
      <c r="D70" s="46">
        <v>4</v>
      </c>
      <c r="E70" s="46">
        <v>1</v>
      </c>
      <c r="F70" s="46">
        <v>2</v>
      </c>
      <c r="G70" s="46">
        <v>1</v>
      </c>
      <c r="H70" s="46">
        <v>0</v>
      </c>
      <c r="I70" s="46">
        <v>0</v>
      </c>
      <c r="J70" s="47"/>
    </row>
    <row r="71" spans="1:10" ht="39.6" customHeight="1" x14ac:dyDescent="0.3">
      <c r="A71" s="44" t="s">
        <v>89</v>
      </c>
      <c r="B71" s="44" t="s">
        <v>90</v>
      </c>
      <c r="C71" s="34" t="s">
        <v>91</v>
      </c>
      <c r="D71" s="46">
        <v>1</v>
      </c>
      <c r="E71" s="46">
        <v>1</v>
      </c>
      <c r="F71" s="46">
        <v>0</v>
      </c>
      <c r="G71" s="46">
        <v>0</v>
      </c>
      <c r="H71" s="46">
        <v>0</v>
      </c>
      <c r="I71" s="46">
        <v>0</v>
      </c>
      <c r="J71" s="47"/>
    </row>
    <row r="72" spans="1:10" ht="26.45" customHeight="1" x14ac:dyDescent="0.25">
      <c r="A72" s="59" t="s">
        <v>14</v>
      </c>
      <c r="B72" s="67"/>
      <c r="C72" s="68"/>
      <c r="D72" s="48">
        <f>SUM(D70:D71)</f>
        <v>5</v>
      </c>
      <c r="E72" s="48">
        <f>SUM(E70:E71)</f>
        <v>2</v>
      </c>
      <c r="F72" s="48">
        <f>SUM(F70:F71)</f>
        <v>2</v>
      </c>
      <c r="G72" s="48">
        <f>SUM(G70:G71)</f>
        <v>1</v>
      </c>
      <c r="H72" s="48">
        <f>SUM(H70:H71)</f>
        <v>0</v>
      </c>
      <c r="I72" s="48">
        <f>SUM(I70:I71)</f>
        <v>0</v>
      </c>
      <c r="J72" s="49"/>
    </row>
    <row r="73" spans="1:10" ht="26.45" customHeight="1" x14ac:dyDescent="0.25">
      <c r="A73" s="57" t="s">
        <v>15</v>
      </c>
      <c r="B73" s="67"/>
      <c r="C73" s="68"/>
      <c r="D73" s="69">
        <f>IF($D$72=0,0,D72/$D$72)</f>
        <v>1</v>
      </c>
      <c r="E73" s="69">
        <f>IF($D$72=0,0,E72/$D$72)</f>
        <v>0.4</v>
      </c>
      <c r="F73" s="69">
        <f>IF($D$72=0,0,F72/$D$72)</f>
        <v>0.4</v>
      </c>
      <c r="G73" s="69">
        <f>IF($D$72=0,0,G72/$D$72)</f>
        <v>0.2</v>
      </c>
      <c r="H73" s="69">
        <f>IF($D$72=0,0,H72/$D$72)</f>
        <v>0</v>
      </c>
      <c r="I73" s="69">
        <f>IF($D$72=0,0,I72/$D$72)</f>
        <v>0</v>
      </c>
      <c r="J73" s="50"/>
    </row>
    <row r="74" spans="1:10" ht="57.6" customHeight="1" x14ac:dyDescent="0.25"/>
    <row r="75" spans="1:10" ht="26.45" customHeight="1" x14ac:dyDescent="0.25">
      <c r="A75" s="58" t="s">
        <v>92</v>
      </c>
    </row>
    <row r="76" spans="1:10" ht="32.25" x14ac:dyDescent="0.35">
      <c r="A76" s="77" t="s">
        <v>1</v>
      </c>
      <c r="B76" s="73"/>
      <c r="C76" s="74"/>
      <c r="D76" s="43" t="s">
        <v>4</v>
      </c>
      <c r="E76" s="43" t="s">
        <v>5</v>
      </c>
      <c r="F76" s="43" t="s">
        <v>6</v>
      </c>
      <c r="G76" s="43" t="s">
        <v>7</v>
      </c>
      <c r="H76" s="43" t="s">
        <v>8</v>
      </c>
      <c r="I76" s="43" t="s">
        <v>9</v>
      </c>
      <c r="J76" s="43" t="s">
        <v>10</v>
      </c>
    </row>
    <row r="77" spans="1:10" x14ac:dyDescent="0.25">
      <c r="A77" s="78" t="s">
        <v>20</v>
      </c>
      <c r="B77" s="73"/>
      <c r="C77" s="74"/>
      <c r="D77" s="46">
        <v>4</v>
      </c>
      <c r="E77" s="46">
        <v>1</v>
      </c>
      <c r="F77" s="46">
        <v>2</v>
      </c>
      <c r="G77" s="46">
        <v>0</v>
      </c>
      <c r="H77" s="46">
        <v>1</v>
      </c>
      <c r="I77" s="46">
        <v>0</v>
      </c>
      <c r="J77" s="47"/>
    </row>
    <row r="78" spans="1:10" x14ac:dyDescent="0.25">
      <c r="A78" s="45" t="s">
        <v>93</v>
      </c>
      <c r="B78" s="67"/>
      <c r="C78" s="67"/>
      <c r="D78" s="67"/>
      <c r="E78" s="67"/>
      <c r="F78" s="67"/>
      <c r="G78" s="67"/>
      <c r="H78" s="67"/>
      <c r="I78" s="67"/>
      <c r="J78" s="68"/>
    </row>
    <row r="79" spans="1:10" ht="19.149999999999999" customHeight="1" x14ac:dyDescent="0.25">
      <c r="A79" s="72" t="s">
        <v>94</v>
      </c>
      <c r="B79" s="73"/>
      <c r="C79" s="73"/>
      <c r="D79" s="73"/>
      <c r="E79" s="73"/>
      <c r="F79" s="73"/>
      <c r="G79" s="73"/>
      <c r="H79" s="73"/>
      <c r="I79" s="73"/>
      <c r="J79" s="74"/>
    </row>
    <row r="80" spans="1:10" ht="34.9" customHeight="1" x14ac:dyDescent="0.3">
      <c r="A80" s="44" t="s">
        <v>71</v>
      </c>
      <c r="B80" s="44" t="s">
        <v>95</v>
      </c>
      <c r="C80" s="34" t="s">
        <v>96</v>
      </c>
      <c r="D80" s="46">
        <v>5</v>
      </c>
      <c r="E80" s="46">
        <v>1</v>
      </c>
      <c r="F80" s="46">
        <v>2</v>
      </c>
      <c r="G80" s="46">
        <v>1</v>
      </c>
      <c r="H80" s="46">
        <v>1</v>
      </c>
      <c r="I80" s="46">
        <v>0</v>
      </c>
      <c r="J80" s="47"/>
    </row>
    <row r="81" spans="1:10" ht="39.6" customHeight="1" x14ac:dyDescent="0.3">
      <c r="A81" s="44" t="s">
        <v>50</v>
      </c>
      <c r="B81" s="44" t="s">
        <v>84</v>
      </c>
      <c r="C81" s="34" t="s">
        <v>85</v>
      </c>
      <c r="D81" s="46">
        <v>3</v>
      </c>
      <c r="E81" s="46">
        <v>1</v>
      </c>
      <c r="F81" s="46">
        <v>2</v>
      </c>
      <c r="G81" s="46">
        <v>0</v>
      </c>
      <c r="H81" s="46">
        <v>0</v>
      </c>
      <c r="I81" s="46">
        <v>0</v>
      </c>
      <c r="J81" s="47"/>
    </row>
    <row r="82" spans="1:10" ht="26.45" customHeight="1" x14ac:dyDescent="0.3">
      <c r="A82" s="45" t="s">
        <v>26</v>
      </c>
      <c r="B82" s="44" t="s">
        <v>97</v>
      </c>
      <c r="C82" s="34" t="s">
        <v>98</v>
      </c>
      <c r="D82" s="46">
        <v>3</v>
      </c>
      <c r="E82" s="46">
        <v>2</v>
      </c>
      <c r="F82" s="46">
        <v>1</v>
      </c>
      <c r="G82" s="46">
        <v>0</v>
      </c>
      <c r="H82" s="46">
        <v>0</v>
      </c>
      <c r="I82" s="46">
        <v>0</v>
      </c>
      <c r="J82" s="47"/>
    </row>
    <row r="83" spans="1:10" ht="70.900000000000006" customHeight="1" x14ac:dyDescent="0.3">
      <c r="A83" s="45" t="s">
        <v>26</v>
      </c>
      <c r="B83" s="44" t="s">
        <v>97</v>
      </c>
      <c r="C83" s="34" t="s">
        <v>98</v>
      </c>
      <c r="D83" s="46">
        <v>3</v>
      </c>
      <c r="E83" s="46">
        <v>2</v>
      </c>
      <c r="F83" s="46">
        <v>1</v>
      </c>
      <c r="G83" s="46">
        <v>0</v>
      </c>
      <c r="H83" s="46">
        <v>0</v>
      </c>
      <c r="I83" s="46">
        <v>0</v>
      </c>
      <c r="J83" s="47"/>
    </row>
    <row r="84" spans="1:10" ht="42" customHeight="1" x14ac:dyDescent="0.3">
      <c r="A84" s="45" t="s">
        <v>47</v>
      </c>
      <c r="B84" s="44" t="s">
        <v>58</v>
      </c>
      <c r="C84" s="34" t="s">
        <v>99</v>
      </c>
      <c r="D84" s="46">
        <v>2</v>
      </c>
      <c r="E84" s="46">
        <v>1</v>
      </c>
      <c r="F84" s="46">
        <v>1</v>
      </c>
      <c r="G84" s="46">
        <v>0</v>
      </c>
      <c r="H84" s="46">
        <v>0</v>
      </c>
      <c r="I84" s="46">
        <v>0</v>
      </c>
      <c r="J84" s="47"/>
    </row>
    <row r="85" spans="1:10" ht="26.45" customHeight="1" x14ac:dyDescent="0.25">
      <c r="A85" s="59" t="s">
        <v>14</v>
      </c>
      <c r="B85" s="67"/>
      <c r="C85" s="68"/>
      <c r="D85" s="48">
        <f>SUM(D77:D84)</f>
        <v>20</v>
      </c>
      <c r="E85" s="48">
        <f>SUM(E77:E84)</f>
        <v>8</v>
      </c>
      <c r="F85" s="48">
        <f>SUM(F77:F84)</f>
        <v>9</v>
      </c>
      <c r="G85" s="48">
        <f>SUM(G77:G84)</f>
        <v>1</v>
      </c>
      <c r="H85" s="48">
        <f>SUM(H77:H84)</f>
        <v>2</v>
      </c>
      <c r="I85" s="48">
        <f>SUM(I77:I84)</f>
        <v>0</v>
      </c>
      <c r="J85" s="49"/>
    </row>
    <row r="86" spans="1:10" ht="52.9" customHeight="1" x14ac:dyDescent="0.25">
      <c r="A86" s="57" t="s">
        <v>15</v>
      </c>
      <c r="B86" s="67"/>
      <c r="C86" s="68"/>
      <c r="D86" s="69">
        <f>IF($D$85=0,0,D85/$D$85)</f>
        <v>1</v>
      </c>
      <c r="E86" s="69">
        <f>IF($D$85=0,0,E85/$D$85)</f>
        <v>0.4</v>
      </c>
      <c r="F86" s="69">
        <f>IF($D$85=0,0,F85/$D$85)</f>
        <v>0.45</v>
      </c>
      <c r="G86" s="69">
        <f>IF($D$85=0,0,G85/$D$85)</f>
        <v>0.05</v>
      </c>
      <c r="H86" s="69">
        <f>IF($D$85=0,0,H85/$D$85)</f>
        <v>0.1</v>
      </c>
      <c r="I86" s="69">
        <f>IF($D$85=0,0,I85/$D$85)</f>
        <v>0</v>
      </c>
      <c r="J86" s="50"/>
    </row>
    <row r="87" spans="1:10" ht="52.9" customHeight="1" x14ac:dyDescent="0.25"/>
    <row r="88" spans="1:10" ht="42" customHeight="1" x14ac:dyDescent="0.25">
      <c r="A88" s="58" t="s">
        <v>100</v>
      </c>
    </row>
    <row r="89" spans="1:10" ht="32.25" x14ac:dyDescent="0.35">
      <c r="A89" s="77" t="s">
        <v>1</v>
      </c>
      <c r="B89" s="73"/>
      <c r="C89" s="74"/>
      <c r="D89" s="43" t="s">
        <v>4</v>
      </c>
      <c r="E89" s="43" t="s">
        <v>5</v>
      </c>
      <c r="F89" s="43" t="s">
        <v>6</v>
      </c>
      <c r="G89" s="43" t="s">
        <v>7</v>
      </c>
      <c r="H89" s="43" t="s">
        <v>8</v>
      </c>
      <c r="I89" s="43" t="s">
        <v>9</v>
      </c>
      <c r="J89" s="43" t="s">
        <v>10</v>
      </c>
    </row>
    <row r="90" spans="1:10" x14ac:dyDescent="0.25">
      <c r="A90" s="72" t="s">
        <v>47</v>
      </c>
      <c r="B90" s="73"/>
      <c r="C90" s="74"/>
      <c r="D90" s="46">
        <v>6</v>
      </c>
      <c r="E90" s="46">
        <v>2</v>
      </c>
      <c r="F90" s="46">
        <v>3</v>
      </c>
      <c r="G90" s="46">
        <v>0</v>
      </c>
      <c r="H90" s="46">
        <v>0</v>
      </c>
      <c r="I90" s="51">
        <v>1</v>
      </c>
      <c r="J90" s="52" t="s">
        <v>101</v>
      </c>
    </row>
    <row r="91" spans="1:10" x14ac:dyDescent="0.25">
      <c r="A91" s="45" t="s">
        <v>102</v>
      </c>
      <c r="B91" s="67"/>
      <c r="C91" s="67"/>
      <c r="D91" s="67"/>
      <c r="E91" s="67"/>
      <c r="F91" s="67"/>
      <c r="G91" s="67"/>
      <c r="H91" s="67"/>
      <c r="I91" s="67"/>
      <c r="J91" s="68"/>
    </row>
    <row r="92" spans="1:10" ht="19.149999999999999" customHeight="1" x14ac:dyDescent="0.25">
      <c r="A92" s="72" t="s">
        <v>76</v>
      </c>
      <c r="B92" s="73"/>
      <c r="C92" s="73"/>
      <c r="D92" s="73"/>
      <c r="E92" s="73"/>
      <c r="F92" s="73"/>
      <c r="G92" s="73"/>
      <c r="H92" s="73"/>
      <c r="I92" s="73"/>
      <c r="J92" s="74"/>
    </row>
    <row r="93" spans="1:10" ht="34.9" customHeight="1" x14ac:dyDescent="0.3">
      <c r="A93" s="45" t="s">
        <v>76</v>
      </c>
      <c r="B93" s="44" t="s">
        <v>103</v>
      </c>
      <c r="C93" s="34" t="s">
        <v>104</v>
      </c>
      <c r="D93" s="46">
        <v>5</v>
      </c>
      <c r="E93" s="46">
        <v>1</v>
      </c>
      <c r="F93" s="46">
        <v>0</v>
      </c>
      <c r="G93" s="46">
        <v>0</v>
      </c>
      <c r="H93" s="46">
        <v>1</v>
      </c>
      <c r="I93" s="51">
        <v>3</v>
      </c>
      <c r="J93" s="52" t="s">
        <v>105</v>
      </c>
    </row>
    <row r="94" spans="1:10" ht="39.6" customHeight="1" x14ac:dyDescent="0.3">
      <c r="A94" s="45" t="s">
        <v>47</v>
      </c>
      <c r="B94" s="44" t="s">
        <v>106</v>
      </c>
      <c r="C94" s="34" t="s">
        <v>107</v>
      </c>
      <c r="D94" s="46">
        <v>6</v>
      </c>
      <c r="E94" s="46">
        <v>2</v>
      </c>
      <c r="F94" s="46">
        <v>2</v>
      </c>
      <c r="G94" s="46">
        <v>0</v>
      </c>
      <c r="H94" s="46">
        <v>0</v>
      </c>
      <c r="I94" s="51">
        <v>2</v>
      </c>
      <c r="J94" s="52" t="s">
        <v>108</v>
      </c>
    </row>
    <row r="95" spans="1:10" ht="81.599999999999994" customHeight="1" x14ac:dyDescent="0.3">
      <c r="A95" s="45" t="s">
        <v>109</v>
      </c>
      <c r="B95" s="44" t="s">
        <v>51</v>
      </c>
      <c r="C95" s="34" t="s">
        <v>110</v>
      </c>
      <c r="D95" s="46">
        <v>4</v>
      </c>
      <c r="E95" s="46">
        <v>1</v>
      </c>
      <c r="F95" s="46">
        <v>2</v>
      </c>
      <c r="G95" s="46">
        <v>1</v>
      </c>
      <c r="H95" s="46">
        <v>0</v>
      </c>
      <c r="I95" s="46">
        <v>0</v>
      </c>
      <c r="J95" s="47"/>
    </row>
    <row r="96" spans="1:10" ht="28.9" customHeight="1" x14ac:dyDescent="0.3">
      <c r="A96" s="44" t="s">
        <v>111</v>
      </c>
      <c r="B96" s="45" t="s">
        <v>112</v>
      </c>
      <c r="C96" s="34" t="s">
        <v>113</v>
      </c>
      <c r="D96" s="46">
        <v>5</v>
      </c>
      <c r="E96" s="46">
        <v>1</v>
      </c>
      <c r="F96" s="46">
        <v>1</v>
      </c>
      <c r="G96" s="46">
        <v>0</v>
      </c>
      <c r="H96" s="46">
        <v>1</v>
      </c>
      <c r="I96" s="51">
        <v>2</v>
      </c>
      <c r="J96" s="52" t="s">
        <v>108</v>
      </c>
    </row>
    <row r="97" spans="1:10" ht="57.6" customHeight="1" x14ac:dyDescent="0.3">
      <c r="A97" s="44" t="s">
        <v>114</v>
      </c>
      <c r="B97" s="44" t="s">
        <v>115</v>
      </c>
      <c r="C97" s="34" t="s">
        <v>116</v>
      </c>
      <c r="D97" s="46">
        <v>1</v>
      </c>
      <c r="E97" s="46">
        <v>1</v>
      </c>
      <c r="F97" s="46">
        <v>0</v>
      </c>
      <c r="G97" s="46">
        <v>0</v>
      </c>
      <c r="H97" s="46">
        <v>0</v>
      </c>
      <c r="I97" s="46">
        <v>0</v>
      </c>
      <c r="J97" s="47"/>
    </row>
    <row r="98" spans="1:10" ht="84" customHeight="1" x14ac:dyDescent="0.3">
      <c r="A98" s="45" t="s">
        <v>102</v>
      </c>
      <c r="B98" s="44" t="s">
        <v>117</v>
      </c>
      <c r="C98" s="34" t="s">
        <v>118</v>
      </c>
      <c r="D98" s="46">
        <v>3</v>
      </c>
      <c r="E98" s="46">
        <v>1</v>
      </c>
      <c r="F98" s="46">
        <v>1</v>
      </c>
      <c r="G98" s="46">
        <v>0</v>
      </c>
      <c r="H98" s="46">
        <v>1</v>
      </c>
      <c r="I98" s="46">
        <v>0</v>
      </c>
      <c r="J98" s="47"/>
    </row>
    <row r="99" spans="1:10" ht="42" customHeight="1" x14ac:dyDescent="0.25">
      <c r="A99" s="59" t="s">
        <v>14</v>
      </c>
      <c r="B99" s="67"/>
      <c r="C99" s="68"/>
      <c r="D99" s="48">
        <f>SUM(D90:D98)</f>
        <v>30</v>
      </c>
      <c r="E99" s="48">
        <f>SUM(E90:E98)</f>
        <v>9</v>
      </c>
      <c r="F99" s="48">
        <f>SUM(F90:F98)</f>
        <v>9</v>
      </c>
      <c r="G99" s="48">
        <f>SUM(G90:G98)</f>
        <v>1</v>
      </c>
      <c r="H99" s="48">
        <f>SUM(H90:H98)</f>
        <v>3</v>
      </c>
      <c r="I99" s="48">
        <f>SUM(I90:I98)</f>
        <v>8</v>
      </c>
      <c r="J99" s="53" t="str">
        <f>" ※ 미정 "&amp;I99&amp;"대 아직 미반영 (인력 확정 시 비율 변동)"</f>
        <v xml:space="preserve"> ※ 미정 8대 아직 미반영 (인력 확정 시 비율 변동)</v>
      </c>
    </row>
    <row r="100" spans="1:10" ht="52.9" customHeight="1" x14ac:dyDescent="0.25">
      <c r="A100" s="57" t="s">
        <v>15</v>
      </c>
      <c r="B100" s="67"/>
      <c r="C100" s="68"/>
      <c r="D100" s="69">
        <f>IF($D$99=0,0,D99/$D$99)</f>
        <v>1</v>
      </c>
      <c r="E100" s="69">
        <f>IF($D$99=0,0,E99/$D$99)</f>
        <v>0.3</v>
      </c>
      <c r="F100" s="69">
        <f>IF($D$99=0,0,F99/$D$99)</f>
        <v>0.3</v>
      </c>
      <c r="G100" s="69">
        <f>IF($D$99=0,0,G99/$D$99)</f>
        <v>3.3333333333333333E-2</v>
      </c>
      <c r="H100" s="69">
        <f>IF($D$99=0,0,H99/$D$99)</f>
        <v>0.1</v>
      </c>
      <c r="I100" s="69">
        <f>IF($D$99=0,0,I99/$D$99)</f>
        <v>0.26666666666666666</v>
      </c>
      <c r="J100" s="50"/>
    </row>
    <row r="101" spans="1:10" ht="39.6" customHeight="1" x14ac:dyDescent="0.25"/>
    <row r="102" spans="1:10" ht="26.45" customHeight="1" x14ac:dyDescent="0.25">
      <c r="A102" s="58" t="s">
        <v>119</v>
      </c>
    </row>
    <row r="103" spans="1:10" ht="39.6" customHeight="1" x14ac:dyDescent="0.35">
      <c r="A103" s="77" t="s">
        <v>1</v>
      </c>
      <c r="B103" s="73"/>
      <c r="C103" s="74"/>
      <c r="D103" s="43" t="s">
        <v>4</v>
      </c>
      <c r="E103" s="43" t="s">
        <v>5</v>
      </c>
      <c r="F103" s="43" t="s">
        <v>6</v>
      </c>
      <c r="G103" s="43" t="s">
        <v>7</v>
      </c>
      <c r="H103" s="43" t="s">
        <v>8</v>
      </c>
      <c r="I103" s="43" t="s">
        <v>9</v>
      </c>
      <c r="J103" s="43" t="s">
        <v>10</v>
      </c>
    </row>
    <row r="104" spans="1:10" x14ac:dyDescent="0.25">
      <c r="A104" s="72" t="s">
        <v>120</v>
      </c>
      <c r="B104" s="73"/>
      <c r="C104" s="74"/>
      <c r="D104" s="46">
        <v>4</v>
      </c>
      <c r="E104" s="46">
        <v>1</v>
      </c>
      <c r="F104" s="46">
        <v>1</v>
      </c>
      <c r="G104" s="46">
        <v>0</v>
      </c>
      <c r="H104" s="46">
        <v>0</v>
      </c>
      <c r="I104" s="51">
        <v>2</v>
      </c>
      <c r="J104" s="52" t="s">
        <v>108</v>
      </c>
    </row>
    <row r="105" spans="1:10" ht="87.75" x14ac:dyDescent="0.3">
      <c r="A105" s="45" t="s">
        <v>121</v>
      </c>
      <c r="B105" s="44" t="s">
        <v>122</v>
      </c>
      <c r="C105" s="34" t="s">
        <v>123</v>
      </c>
      <c r="D105" s="46">
        <v>4</v>
      </c>
      <c r="E105" s="46">
        <v>1</v>
      </c>
      <c r="F105" s="46">
        <v>2</v>
      </c>
      <c r="G105" s="46">
        <v>0</v>
      </c>
      <c r="H105" s="46">
        <v>1</v>
      </c>
      <c r="I105" s="51">
        <v>0</v>
      </c>
      <c r="J105" s="52"/>
    </row>
    <row r="106" spans="1:10" ht="19.149999999999999" customHeight="1" x14ac:dyDescent="0.3">
      <c r="A106" s="45" t="s">
        <v>124</v>
      </c>
      <c r="B106" s="44" t="s">
        <v>125</v>
      </c>
      <c r="C106" s="34" t="s">
        <v>126</v>
      </c>
      <c r="D106" s="46">
        <v>4</v>
      </c>
      <c r="E106" s="46">
        <v>1</v>
      </c>
      <c r="F106" s="46">
        <v>2</v>
      </c>
      <c r="G106" s="46">
        <v>1</v>
      </c>
      <c r="H106" s="46">
        <v>0</v>
      </c>
      <c r="I106" s="51">
        <v>0</v>
      </c>
      <c r="J106" s="52"/>
    </row>
    <row r="107" spans="1:10" ht="34.9" customHeight="1" x14ac:dyDescent="0.3">
      <c r="A107" s="45" t="s">
        <v>80</v>
      </c>
      <c r="B107" s="44"/>
      <c r="C107" s="34" t="s">
        <v>127</v>
      </c>
      <c r="D107" s="46">
        <v>3</v>
      </c>
      <c r="E107" s="46">
        <v>1</v>
      </c>
      <c r="F107" s="46">
        <v>2</v>
      </c>
      <c r="G107" s="46">
        <v>0</v>
      </c>
      <c r="H107" s="46">
        <v>0</v>
      </c>
      <c r="I107" s="51">
        <v>0</v>
      </c>
      <c r="J107" s="52"/>
    </row>
    <row r="108" spans="1:10" ht="39.6" customHeight="1" x14ac:dyDescent="0.25">
      <c r="A108" s="59" t="s">
        <v>14</v>
      </c>
      <c r="B108" s="67"/>
      <c r="C108" s="68"/>
      <c r="D108" s="48">
        <f>SUM(D104:D107)</f>
        <v>15</v>
      </c>
      <c r="E108" s="48">
        <f>SUM(E104:E107)</f>
        <v>4</v>
      </c>
      <c r="F108" s="48">
        <f>SUM(F104:F107)</f>
        <v>7</v>
      </c>
      <c r="G108" s="48">
        <f>SUM(G104:G107)</f>
        <v>1</v>
      </c>
      <c r="H108" s="48">
        <f>SUM(H104:H107)</f>
        <v>1</v>
      </c>
      <c r="I108" s="48">
        <f>SUM(I104:I107)</f>
        <v>2</v>
      </c>
      <c r="J108" s="53" t="str">
        <f>" ※ 미정 "&amp;I108&amp;"대 아직 미반영 (인력 확정 시 비율 변동)"</f>
        <v xml:space="preserve"> ※ 미정 2대 아직 미반영 (인력 확정 시 비율 변동)</v>
      </c>
    </row>
    <row r="109" spans="1:10" ht="81.599999999999994" customHeight="1" x14ac:dyDescent="0.25">
      <c r="A109" s="59" t="s">
        <v>15</v>
      </c>
      <c r="B109" s="67"/>
      <c r="C109" s="68"/>
      <c r="D109" s="71">
        <f>IF($D$108=0,0,D108/$D$108)</f>
        <v>1</v>
      </c>
      <c r="E109" s="71">
        <f>IF($D$108=0,0,E108/$D$108)</f>
        <v>0.26666666666666666</v>
      </c>
      <c r="F109" s="71">
        <f>IF($D$108=0,0,F108/$D$108)</f>
        <v>0.46666666666666667</v>
      </c>
      <c r="G109" s="71">
        <f>IF($D$108=0,0,G108/$D$108)</f>
        <v>6.6666666666666666E-2</v>
      </c>
      <c r="H109" s="71">
        <f>IF($D$108=0,0,H108/$D$108)</f>
        <v>6.6666666666666666E-2</v>
      </c>
      <c r="I109" s="71">
        <f>IF($D$108=0,0,I108/$D$108)</f>
        <v>0.13333333333333333</v>
      </c>
      <c r="J109" s="53"/>
    </row>
    <row r="110" spans="1:10" ht="28.9" customHeight="1" x14ac:dyDescent="0.25"/>
    <row r="111" spans="1:10" ht="39.6" customHeight="1" x14ac:dyDescent="0.25"/>
  </sheetData>
  <mergeCells count="27">
    <mergeCell ref="A1:J1"/>
    <mergeCell ref="A79:J79"/>
    <mergeCell ref="A40:C40"/>
    <mergeCell ref="A69:J69"/>
    <mergeCell ref="A67:C67"/>
    <mergeCell ref="A9:C9"/>
    <mergeCell ref="A77:C77"/>
    <mergeCell ref="A49:C49"/>
    <mergeCell ref="A104:C104"/>
    <mergeCell ref="A76:C76"/>
    <mergeCell ref="A31:J31"/>
    <mergeCell ref="A8:C8"/>
    <mergeCell ref="A92:J92"/>
    <mergeCell ref="A17:C17"/>
    <mergeCell ref="A29:C29"/>
    <mergeCell ref="A11:J11"/>
    <mergeCell ref="A28:C28"/>
    <mergeCell ref="A103:C103"/>
    <mergeCell ref="A90:C90"/>
    <mergeCell ref="A41:C41"/>
    <mergeCell ref="A66:C66"/>
    <mergeCell ref="A89:C89"/>
    <mergeCell ref="A18:C18"/>
    <mergeCell ref="A20:J20"/>
    <mergeCell ref="A43:J43"/>
    <mergeCell ref="A50:C50"/>
    <mergeCell ref="A52:J52"/>
  </mergeCell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2026-10-11T04:35:47Z</dcterms:modified>
</cp:coreProperties>
</file>