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현재_통합_문서"/>
  <bookViews>
    <workbookView visibility="visible" minimized="0" showHorizontalScroll="1" showVerticalScroll="1" showSheetTabs="1" xWindow="12816" yWindow="204" windowWidth="16908" windowHeight="12156" tabRatio="600" firstSheet="2" activeTab="4" autoFilterDateGrouping="1"/>
  </bookViews>
  <sheets>
    <sheet xmlns:r="http://schemas.openxmlformats.org/officeDocument/2006/relationships" name="1.26년 전체 소속별 점유율" sheetId="1" state="visible" r:id="rId1"/>
    <sheet xmlns:r="http://schemas.openxmlformats.org/officeDocument/2006/relationships" name="2.각8개지부 현장점유율" sheetId="2" state="visible" r:id="rId2"/>
    <sheet xmlns:r="http://schemas.openxmlformats.org/officeDocument/2006/relationships" name="3.타워사별 점유현황" sheetId="3" state="visible" r:id="rId3"/>
    <sheet xmlns:r="http://schemas.openxmlformats.org/officeDocument/2006/relationships" name="4.반도체현장" sheetId="4" state="visible" r:id="rId4"/>
    <sheet xmlns:r="http://schemas.openxmlformats.org/officeDocument/2006/relationships" name="5.1~9월채용추이" sheetId="5" state="visible" r:id="rId5"/>
  </sheets>
  <definedNames>
    <definedName name="가평군">#REF!</definedName>
    <definedName name="강원도">#REF!</definedName>
    <definedName name="경기도">#REF!</definedName>
    <definedName name="경상남도">#REF!</definedName>
    <definedName name="경상북도">#REF!</definedName>
    <definedName name="광산구">#REF!</definedName>
    <definedName name="광주광역시">#REF!</definedName>
    <definedName name="대구광역시">#REF!</definedName>
    <definedName name="대전광역시">#REF!</definedName>
    <definedName name="동구">#REF!</definedName>
    <definedName name="목포시">#REF!</definedName>
    <definedName name="부산광역시">#REF!</definedName>
    <definedName name="서귀포시">#REF!</definedName>
    <definedName name="서울특별시">#REF!</definedName>
    <definedName name="세종시">#REF!</definedName>
    <definedName name="시_도">#REF!</definedName>
    <definedName name="울산광역시">#REF!</definedName>
    <definedName name="인천광역시">#REF!</definedName>
    <definedName name="전라남도">#REF!</definedName>
    <definedName name="전라북도">#REF!</definedName>
    <definedName name="전주시">#REF!</definedName>
    <definedName name="제주도">#REF!</definedName>
    <definedName name="조치원읍">#REF!</definedName>
    <definedName name="종로구">#REF!</definedName>
    <definedName name="중구">#REF!</definedName>
    <definedName name="창원시">#REF!</definedName>
    <definedName name="천안시">#REF!</definedName>
    <definedName name="청주시">#REF!</definedName>
    <definedName name="춘천시">#REF!</definedName>
    <definedName name="충청남도">#REF!</definedName>
    <definedName name="충청북도">#REF!</definedName>
    <definedName name="포항시">#REF!</definedName>
    <definedName name="_xlnm._FilterDatabase" localSheetId="1" hidden="1">'2.각8개지부 현장점유율'!$A$2:$L$75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6">
    <font>
      <name val="맑은 고딕"/>
      <charset val="129"/>
      <family val="2"/>
      <color theme="1"/>
      <sz val="11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3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b val="1"/>
      <sz val="10"/>
    </font>
    <font>
      <name val="Arial"/>
      <family val="2"/>
      <b val="1"/>
      <sz val="10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29"/>
      <family val="3"/>
      <b val="1"/>
      <color rgb="FFFFFFFF"/>
      <sz val="13"/>
    </font>
    <font>
      <name val="Arial"/>
      <family val="2"/>
      <i val="1"/>
      <color rgb="FF999999"/>
      <sz val="10"/>
    </font>
    <font>
      <name val="Noto Sans CJK SC"/>
      <family val="2"/>
      <i val="1"/>
      <color rgb="FF999999"/>
      <sz val="10"/>
    </font>
    <font>
      <name val="Noto Sans CJK SC"/>
      <family val="2"/>
      <color rgb="FFB45309"/>
      <sz val="10"/>
    </font>
    <font>
      <name val="Noto Sans CJK SC"/>
      <charset val="129"/>
      <family val="3"/>
      <b val="1"/>
      <color rgb="FFFFFFFF"/>
      <sz val="14"/>
    </font>
    <font>
      <name val="Arial"/>
      <family val="2"/>
      <color rgb="FFFF0000"/>
      <sz val="10"/>
    </font>
    <font>
      <name val="맑은 고딕"/>
      <charset val="129"/>
      <family val="3"/>
      <b val="1"/>
      <color rgb="FF1F497D"/>
      <sz val="16"/>
    </font>
    <font>
      <name val="맑은 고딕"/>
      <charset val="129"/>
      <family val="3"/>
      <b val="1"/>
      <color rgb="FF595959"/>
      <sz val="10"/>
    </font>
    <font>
      <name val="맑은 고딕"/>
      <charset val="129"/>
      <family val="3"/>
      <b val="1"/>
      <color rgb="FF000000"/>
      <sz val="12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0"/>
    </font>
    <font>
      <name val="맑은 고딕"/>
      <charset val="129"/>
      <family val="3"/>
      <sz val="10"/>
    </font>
    <font>
      <name val="맑은 고딕"/>
      <charset val="129"/>
      <family val="3"/>
      <color rgb="FF595959"/>
      <sz val="9"/>
    </font>
    <font>
      <name val="맑은 고딕"/>
      <charset val="129"/>
      <family val="2"/>
      <sz val="8"/>
      <scheme val="minor"/>
    </font>
    <font>
      <name val="맑은 고딕"/>
      <charset val="129"/>
      <family val="2"/>
      <sz val="10"/>
    </font>
    <font>
      <name val="Noto Sans CJK SC"/>
      <charset val="129"/>
      <family val="3"/>
      <sz val="10"/>
    </font>
    <font>
      <name val="맑은 고딕"/>
      <charset val="129"/>
      <family val="3"/>
      <b val="1"/>
      <color rgb="FFFFFFFF"/>
      <sz val="12"/>
    </font>
    <font>
      <name val="Noto Sans CJK SC"/>
      <family val="2"/>
      <b val="1"/>
      <color rgb="FFFFFFFF"/>
      <sz val="12"/>
    </font>
    <font>
      <name val="Noto Sans CJK SC"/>
      <family val="2"/>
      <b val="1"/>
      <color rgb="FFFFFFFF"/>
      <sz val="11"/>
    </font>
    <font>
      <name val="Noto Sans CJK SC"/>
      <family val="2"/>
      <b val="1"/>
      <sz val="11"/>
    </font>
    <font>
      <name val="맑은 고딕"/>
      <charset val="129"/>
      <family val="3"/>
      <b val="1"/>
      <color rgb="FF1F3864"/>
      <sz val="11"/>
    </font>
    <font>
      <name val="맑은 고딕"/>
      <charset val="129"/>
      <family val="3"/>
      <b val="1"/>
      <color rgb="FFC00000"/>
      <sz val="10"/>
    </font>
    <font>
      <name val="Noto Sans CJK SC"/>
      <family val="2"/>
      <color rgb="FFC00000"/>
      <sz val="9"/>
    </font>
    <font>
      <name val="맑은 고딕"/>
      <charset val="129"/>
      <family val="3"/>
      <color rgb="FFC00000"/>
      <sz val="9"/>
    </font>
    <font>
      <name val="Noto Sans CJK SC"/>
      <family val="2"/>
      <b val="1"/>
      <color rgb="FFC00000"/>
      <sz val="10"/>
    </font>
  </fonts>
  <fills count="23">
    <fill>
      <patternFill/>
    </fill>
    <fill>
      <patternFill patternType="gray125"/>
    </fill>
    <fill>
      <patternFill patternType="solid">
        <fgColor rgb="FF1F2D3D"/>
        <bgColor rgb="FF003366"/>
      </patternFill>
    </fill>
    <fill>
      <patternFill patternType="solid">
        <fgColor rgb="FF3B6EA5"/>
        <bgColor rgb="FF4A9168"/>
      </patternFill>
    </fill>
    <fill>
      <patternFill patternType="solid">
        <fgColor rgb="FFB5483D"/>
        <bgColor rgb="FFB45309"/>
      </patternFill>
    </fill>
    <fill>
      <patternFill patternType="solid">
        <fgColor rgb="FF8A5FA8"/>
        <bgColor rgb="FF7A8389"/>
      </patternFill>
    </fill>
    <fill>
      <patternFill patternType="solid">
        <fgColor rgb="FFC97A2E"/>
        <bgColor rgb="FFB45309"/>
      </patternFill>
    </fill>
    <fill>
      <patternFill patternType="solid">
        <fgColor rgb="FF7A8389"/>
        <bgColor rgb="FF999999"/>
      </patternFill>
    </fill>
    <fill>
      <patternFill patternType="solid">
        <fgColor rgb="FF4A9168"/>
        <bgColor rgb="FF7A8389"/>
      </patternFill>
    </fill>
    <fill>
      <patternFill patternType="solid">
        <fgColor rgb="FFF8FAFC"/>
        <bgColor rgb="FFFFFFFF"/>
      </patternFill>
    </fill>
    <fill>
      <patternFill patternType="solid">
        <fgColor rgb="FFEFF3F8"/>
        <bgColor rgb="FFF8FAFC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F2F2"/>
        <bgColor rgb="FFF2F2F2"/>
      </patternFill>
    </fill>
    <fill>
      <patternFill patternType="solid">
        <fgColor rgb="FF366092"/>
        <bgColor rgb="FF366092"/>
      </patternFill>
    </fill>
    <fill>
      <patternFill patternType="solid">
        <fgColor rgb="FFF9FAFB"/>
        <bgColor rgb="FFF9FAFB"/>
      </patternFill>
    </fill>
    <fill>
      <patternFill patternType="solid">
        <fgColor rgb="FFE9EDF4"/>
        <bgColor rgb="FFE9EDF4"/>
      </patternFill>
    </fill>
    <fill>
      <patternFill patternType="solid">
        <fgColor rgb="FF2F5597"/>
        <bgColor rgb="FF44546A"/>
      </patternFill>
    </fill>
    <fill>
      <patternFill patternType="solid">
        <fgColor rgb="FF44546A"/>
        <bgColor rgb="FF2F5597"/>
      </patternFill>
    </fill>
    <fill>
      <patternFill patternType="solid">
        <fgColor rgb="FFD9E1F2"/>
        <bgColor rgb="FFE4DFEC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EB9C"/>
      </patternFill>
    </fill>
  </fills>
  <borders count="1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000000"/>
      </top>
      <bottom style="double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2" fillId="0" borderId="0" applyAlignment="1">
      <alignment vertical="center"/>
    </xf>
    <xf numFmtId="0" fontId="1" fillId="0" borderId="0"/>
    <xf numFmtId="0" fontId="1" fillId="0" borderId="0"/>
    <xf numFmtId="0" fontId="2" fillId="0" borderId="0" applyAlignment="1">
      <alignment vertical="center"/>
    </xf>
  </cellStyleXfs>
  <cellXfs count="87">
    <xf numFmtId="0" fontId="0" fillId="0" borderId="0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19" fillId="12" borderId="0" applyAlignment="1" pivotButton="0" quotePrefix="0" xfId="0">
      <alignment horizontal="center" vertical="center"/>
    </xf>
    <xf numFmtId="3" fontId="20" fillId="13" borderId="0" applyAlignment="1" pivotButton="0" quotePrefix="0" xfId="0">
      <alignment horizontal="center" vertical="center"/>
    </xf>
    <xf numFmtId="0" fontId="21" fillId="14" borderId="0" applyAlignment="1" pivotButton="0" quotePrefix="0" xfId="0">
      <alignment horizontal="center" vertical="center"/>
    </xf>
    <xf numFmtId="0" fontId="4" fillId="15" borderId="0" applyAlignment="1" pivotButton="0" quotePrefix="0" xfId="0">
      <alignment horizontal="center" vertical="center" wrapText="1"/>
    </xf>
    <xf numFmtId="0" fontId="22" fillId="16" borderId="2" applyAlignment="1" pivotButton="0" quotePrefix="0" xfId="0">
      <alignment horizontal="center" vertical="center"/>
    </xf>
    <xf numFmtId="0" fontId="22" fillId="16" borderId="2" applyAlignment="1" pivotButton="0" quotePrefix="0" xfId="0">
      <alignment horizontal="left" vertical="center"/>
    </xf>
    <xf numFmtId="3" fontId="21" fillId="16" borderId="2" applyAlignment="1" pivotButton="0" quotePrefix="0" xfId="0">
      <alignment horizontal="center" vertical="center"/>
    </xf>
    <xf numFmtId="3" fontId="22" fillId="16" borderId="2" applyAlignment="1" pivotButton="0" quotePrefix="0" xfId="0">
      <alignment horizontal="center" vertical="center"/>
    </xf>
    <xf numFmtId="0" fontId="23" fillId="16" borderId="2" applyAlignment="1" pivotButton="0" quotePrefix="0" xfId="0">
      <alignment horizontal="center" vertical="center"/>
    </xf>
    <xf numFmtId="0" fontId="22" fillId="0" borderId="2" applyAlignment="1" pivotButton="0" quotePrefix="0" xfId="0">
      <alignment horizontal="center" vertical="center"/>
    </xf>
    <xf numFmtId="0" fontId="22" fillId="0" borderId="2" applyAlignment="1" pivotButton="0" quotePrefix="0" xfId="0">
      <alignment horizontal="left" vertical="center"/>
    </xf>
    <xf numFmtId="3" fontId="21" fillId="0" borderId="2" applyAlignment="1" pivotButton="0" quotePrefix="0" xfId="0">
      <alignment horizontal="center" vertical="center"/>
    </xf>
    <xf numFmtId="3" fontId="22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center" vertical="center"/>
    </xf>
    <xf numFmtId="0" fontId="21" fillId="17" borderId="3" pivotButton="0" quotePrefix="0" xfId="0"/>
    <xf numFmtId="0" fontId="21" fillId="17" borderId="3" applyAlignment="1" pivotButton="0" quotePrefix="0" xfId="0">
      <alignment horizontal="center" vertical="center"/>
    </xf>
    <xf numFmtId="3" fontId="21" fillId="17" borderId="3" applyAlignment="1" pivotButton="0" quotePrefix="0" xfId="0">
      <alignment horizontal="center" vertical="center"/>
    </xf>
    <xf numFmtId="164" fontId="9" fillId="9" borderId="1" applyAlignment="1" pivotButton="0" quotePrefix="0" xfId="0">
      <alignment horizontal="center" vertical="center" wrapText="1"/>
    </xf>
    <xf numFmtId="164" fontId="15" fillId="9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vertical="center"/>
    </xf>
    <xf numFmtId="164" fontId="9" fillId="0" borderId="1" applyAlignment="1" pivotButton="0" quotePrefix="0" xfId="0">
      <alignment horizontal="center" vertical="center" wrapText="1"/>
    </xf>
    <xf numFmtId="164" fontId="22" fillId="14" borderId="0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8" fillId="0" borderId="4" applyAlignment="1" pivotButton="0" quotePrefix="0" xfId="0">
      <alignment horizontal="left" vertical="center" wrapText="1"/>
    </xf>
    <xf numFmtId="0" fontId="8" fillId="0" borderId="6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 wrapText="1"/>
    </xf>
    <xf numFmtId="9" fontId="3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26" fillId="0" borderId="1" applyAlignment="1" pivotButton="0" quotePrefix="0" xfId="0">
      <alignment horizontal="center" vertical="center" wrapText="1"/>
    </xf>
    <xf numFmtId="9" fontId="3" fillId="0" borderId="0" applyAlignment="1" pivotButton="0" quotePrefix="0" xfId="0">
      <alignment horizontal="center" vertical="center"/>
    </xf>
    <xf numFmtId="0" fontId="29" fillId="19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left" vertical="center"/>
    </xf>
    <xf numFmtId="0" fontId="22" fillId="0" borderId="4" applyAlignment="1" pivotButton="0" quotePrefix="0" xfId="0">
      <alignment horizontal="left" vertical="center"/>
    </xf>
    <xf numFmtId="0" fontId="22" fillId="0" borderId="4" applyAlignment="1" pivotButton="0" quotePrefix="0" xfId="0">
      <alignment horizontal="center" vertical="center"/>
    </xf>
    <xf numFmtId="0" fontId="0" fillId="0" borderId="4" pivotButton="0" quotePrefix="0" xfId="0"/>
    <xf numFmtId="1" fontId="20" fillId="20" borderId="4" applyAlignment="1" pivotButton="0" quotePrefix="0" xfId="0">
      <alignment horizontal="center" vertical="center"/>
    </xf>
    <xf numFmtId="0" fontId="0" fillId="20" borderId="4" applyAlignment="1" pivotButton="0" quotePrefix="0" xfId="0">
      <alignment horizontal="center" vertical="center"/>
    </xf>
    <xf numFmtId="164" fontId="31" fillId="21" borderId="4" applyAlignment="1" pivotButton="0" quotePrefix="0" xfId="0">
      <alignment horizontal="center" vertical="center"/>
    </xf>
    <xf numFmtId="0" fontId="0" fillId="21" borderId="4" applyAlignment="1" pivotButton="0" quotePrefix="0" xfId="0">
      <alignment horizontal="center" vertical="center"/>
    </xf>
    <xf numFmtId="0" fontId="32" fillId="22" borderId="4" applyAlignment="1" pivotButton="0" quotePrefix="0" xfId="0">
      <alignment horizontal="center" vertical="center"/>
    </xf>
    <xf numFmtId="0" fontId="33" fillId="0" borderId="4" pivotButton="0" quotePrefix="0" xfId="0"/>
    <xf numFmtId="0" fontId="35" fillId="20" borderId="4" applyAlignment="1" pivotButton="0" quotePrefix="0" xfId="0">
      <alignment vertical="center" wrapText="1"/>
    </xf>
    <xf numFmtId="0" fontId="10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1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10" fillId="2" borderId="5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8" fillId="0" borderId="0" pivotButton="0" quotePrefix="0" xfId="0"/>
    <xf numFmtId="0" fontId="17" fillId="0" borderId="0" applyAlignment="1" pivotButton="0" quotePrefix="0" xfId="0">
      <alignment horizontal="left" vertical="center"/>
    </xf>
    <xf numFmtId="0" fontId="30" fillId="21" borderId="4" applyAlignment="1" pivotButton="0" quotePrefix="0" xfId="0">
      <alignment horizontal="center" vertical="center"/>
    </xf>
    <xf numFmtId="0" fontId="27" fillId="18" borderId="0" applyAlignment="1" pivotButton="0" quotePrefix="0" xfId="0">
      <alignment vertical="center" indent="1"/>
    </xf>
    <xf numFmtId="0" fontId="30" fillId="20" borderId="4" applyAlignment="1" pivotButton="0" quotePrefix="0" xfId="0">
      <alignment horizontal="center" vertical="center"/>
    </xf>
    <xf numFmtId="164" fontId="9" fillId="9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vertical="center"/>
    </xf>
    <xf numFmtId="164" fontId="15" fillId="9" borderId="1" applyAlignment="1" pivotButton="0" quotePrefix="0" xfId="0">
      <alignment horizontal="center" vertical="center" wrapText="1"/>
    </xf>
    <xf numFmtId="0" fontId="0" fillId="0" borderId="5" pivotButton="0" quotePrefix="0" xfId="0"/>
    <xf numFmtId="164" fontId="5" fillId="2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164" fontId="0" fillId="0" borderId="0" pivotButton="0" quotePrefix="0" xfId="0"/>
    <xf numFmtId="164" fontId="22" fillId="14" borderId="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31" fillId="21" borderId="4" applyAlignment="1" pivotButton="0" quotePrefix="0" xfId="0">
      <alignment horizontal="center" vertical="center"/>
    </xf>
  </cellXfs>
  <cellStyles count="4">
    <cellStyle name="표준" xfId="0" builtinId="0"/>
    <cellStyle name="표준 2 7" xfId="1"/>
    <cellStyle name="표준 3" xfId="2"/>
    <cellStyle name="표준 5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J22" sqref="J22"/>
    </sheetView>
  </sheetViews>
  <sheetFormatPr baseColWidth="8" defaultRowHeight="17.4"/>
  <sheetData>
    <row r="1">
      <c r="A1" s="64" t="inlineStr">
        <is>
          <t>1.26년 전체 소속별 점유율 (통계제외 현장 제외)</t>
        </is>
      </c>
    </row>
    <row r="2">
      <c r="A2" s="1" t="inlineStr">
        <is>
          <t>소속</t>
        </is>
      </c>
      <c r="B2" s="2" t="inlineStr">
        <is>
          <t>한노</t>
        </is>
      </c>
      <c r="C2" s="3" t="inlineStr">
        <is>
          <t>민노</t>
        </is>
      </c>
      <c r="D2" s="4" t="inlineStr">
        <is>
          <t>섬유</t>
        </is>
      </c>
      <c r="E2" s="5" t="inlineStr">
        <is>
          <t>건산</t>
        </is>
      </c>
      <c r="F2" s="6" t="inlineStr">
        <is>
          <t>직원</t>
        </is>
      </c>
      <c r="G2" s="16" t="inlineStr">
        <is>
          <t>미정</t>
        </is>
      </c>
      <c r="H2" s="1" t="inlineStr">
        <is>
          <t>합계</t>
        </is>
      </c>
      <c r="I2" s="1" t="inlineStr">
        <is>
          <t>비율</t>
        </is>
      </c>
    </row>
    <row r="3">
      <c r="A3" s="8" t="inlineStr">
        <is>
          <t>전체</t>
        </is>
      </c>
      <c r="B3" s="9" t="n">
        <v>59</v>
      </c>
      <c r="C3" s="9" t="n">
        <v>87</v>
      </c>
      <c r="D3" s="9" t="n">
        <v>7</v>
      </c>
      <c r="E3" s="9" t="n">
        <v>8</v>
      </c>
      <c r="F3" s="9" t="n">
        <v>36</v>
      </c>
      <c r="G3" s="9" t="n">
        <v>12</v>
      </c>
      <c r="H3" s="9" t="n">
        <v>209</v>
      </c>
      <c r="I3" s="9" t="inlineStr">
        <is>
          <t>100%</t>
        </is>
      </c>
    </row>
    <row r="4">
      <c r="A4" s="10" t="inlineStr">
        <is>
          <t>비율</t>
        </is>
      </c>
      <c r="B4" s="76" t="n">
        <v>0.2822966507177033</v>
      </c>
      <c r="C4" s="76" t="n">
        <v>0.4162679425837321</v>
      </c>
      <c r="D4" s="76" t="n">
        <v>0.03349282296650718</v>
      </c>
      <c r="E4" s="76" t="n">
        <v>0.03827751196172249</v>
      </c>
      <c r="F4" s="76" t="n">
        <v>0.1722488038277512</v>
      </c>
      <c r="G4" s="76" t="n">
        <v>0.05741626794258373</v>
      </c>
    </row>
    <row r="9" ht="26.4" customHeight="1" s="70"/>
    <row r="10" ht="26.4" customHeight="1" s="70"/>
    <row r="11" ht="105.6" customHeight="1" s="70"/>
    <row r="12" ht="26.4" customHeight="1" s="70"/>
    <row r="14" ht="26.4" customHeight="1" s="70"/>
    <row r="15" ht="39.6" customHeight="1" s="70"/>
    <row r="16" ht="39.6" customHeight="1" s="70"/>
    <row r="17" ht="26.4" customHeight="1" s="70"/>
    <row r="18" ht="39.6" customHeight="1" s="70"/>
    <row r="19" ht="39.6" customHeight="1" s="70"/>
    <row r="20" ht="39.6" customHeight="1" s="70"/>
    <row r="21" ht="26.4" customHeight="1" s="70"/>
    <row r="22" ht="26.4" customHeight="1" s="70"/>
    <row r="23" ht="26.4" customHeight="1" s="70"/>
    <row r="24" ht="26.4" customHeight="1" s="70"/>
    <row r="25" ht="26.4" customHeight="1" s="70"/>
    <row r="26" ht="39.6" customHeight="1" s="70"/>
    <row r="27" ht="79.2" customHeight="1" s="70"/>
    <row r="28" ht="26.4" customHeight="1" s="70"/>
    <row r="29">
      <c r="M29" s="77" t="n"/>
    </row>
    <row r="30" ht="39.6" customHeight="1" s="70"/>
    <row r="31" ht="66" customHeight="1" s="70"/>
    <row r="32" ht="26.4" customHeight="1" s="70"/>
    <row r="34" ht="26.4" customHeight="1" s="70"/>
    <row r="35" ht="26.4" customHeight="1" s="70"/>
    <row r="36" ht="26.4" customHeight="1" s="70"/>
    <row r="37" ht="26.4" customHeight="1" s="70"/>
    <row r="38" ht="26.4" customHeight="1" s="70"/>
    <row r="39" ht="52.95" customHeight="1" s="70"/>
    <row r="40" ht="52.95" customHeight="1" s="70"/>
    <row r="41" ht="26.4" customHeight="1" s="70"/>
    <row r="42" ht="26.4" customHeight="1" s="70"/>
    <row r="43" ht="66" customHeight="1" s="70"/>
    <row r="44" ht="39.6" customHeight="1" s="70"/>
    <row r="45" ht="52.95" customHeight="1" s="70"/>
    <row r="46" ht="26.4" customHeight="1" s="70"/>
    <row r="47" ht="26.4" customHeight="1" s="70"/>
    <row r="48" ht="26.4" customHeight="1" s="70"/>
    <row r="49" ht="26.4" customHeight="1" s="70"/>
    <row r="50" ht="26.4" customHeight="1" s="70"/>
    <row r="51" ht="26.4" customHeight="1" s="70"/>
    <row r="52" ht="66" customHeight="1" s="70"/>
    <row r="53" ht="26.4" customHeight="1" s="70"/>
    <row r="54" ht="66" customHeight="1" s="70"/>
    <row r="55" ht="66" customHeight="1" s="70"/>
    <row r="56" ht="26.4" customHeight="1" s="70"/>
    <row r="57" ht="26.4" customHeight="1" s="70"/>
    <row r="58" ht="39.6" customHeight="1" s="70"/>
    <row r="59" ht="39.6" customHeight="1" s="70"/>
    <row r="60" ht="52.95" customHeight="1" s="70"/>
    <row r="61" ht="26.4" customHeight="1" s="70"/>
    <row r="62" ht="39.6" customHeight="1" s="70"/>
    <row r="63" ht="39.6" customHeight="1" s="70"/>
    <row r="64" ht="39.6" customHeight="1" s="70"/>
    <row r="65" ht="26.4" customHeight="1" s="70"/>
    <row r="66" ht="52.95" customHeight="1" s="70"/>
    <row r="67" ht="66" customHeight="1" s="70"/>
    <row r="68" ht="26.4" customHeight="1" s="70"/>
    <row r="69" ht="26.4" customHeight="1" s="70"/>
    <row r="70" ht="26.4" customHeight="1" s="70"/>
    <row r="71" ht="39.6" customHeight="1" s="70"/>
    <row r="72" ht="26.4" customHeight="1" s="70"/>
    <row r="73" ht="26.4" customHeight="1" s="70"/>
    <row r="74" ht="66" customHeight="1" s="70"/>
    <row r="75" ht="26.4" customHeight="1" s="70"/>
    <row r="76" ht="26.4" customHeight="1" s="70"/>
    <row r="82" ht="26.4" customHeight="1" s="70"/>
    <row r="83" ht="26.4" customHeight="1" s="70"/>
    <row r="84" ht="39.6" customHeight="1" s="70"/>
    <row r="85" ht="26.4" customHeight="1" s="70"/>
    <row r="86" ht="26.4" customHeight="1" s="70"/>
    <row r="87" ht="26.4" customHeight="1" s="70"/>
    <row r="88" ht="26.4" customHeight="1" s="70"/>
    <row r="89" ht="26.4" customHeight="1" s="70"/>
    <row r="90" ht="26.4" customHeight="1" s="70"/>
    <row r="91" ht="26.4" customHeight="1" s="70"/>
    <row r="92" ht="26.4" customHeight="1" s="70"/>
    <row r="93" ht="26.4" customHeight="1" s="70"/>
    <row r="94" ht="39.6" customHeight="1" s="70"/>
    <row r="95" ht="26.4" customHeight="1" s="70"/>
    <row r="96" ht="26.4" customHeight="1" s="70"/>
    <row r="97" ht="26.4" customHeight="1" s="70"/>
    <row r="98" ht="26.4" customHeight="1" s="70"/>
    <row r="99" ht="26.4" customHeight="1" s="70"/>
    <row r="100" ht="26.4" customHeight="1" s="70"/>
    <row r="101" ht="26.4" customHeight="1" s="70"/>
    <row r="102" ht="26.4" customHeight="1" s="70"/>
    <row r="103" ht="26.4" customHeight="1" s="70"/>
    <row r="104" ht="39.6" customHeight="1" s="70"/>
    <row r="105" ht="26.4" customHeight="1" s="70"/>
    <row r="106" ht="26.4" customHeight="1" s="70"/>
    <row r="107" ht="26.4" customHeight="1" s="70"/>
    <row r="108" ht="26.4" customHeight="1" s="70"/>
    <row r="109" ht="26.4" customHeight="1" s="70"/>
    <row r="110" ht="26.4" customHeight="1" s="70"/>
    <row r="111" ht="26.4" customHeight="1" s="70"/>
    <row r="112" ht="26.4" customHeight="1" s="70"/>
    <row r="113" ht="26.4" customHeight="1" s="70"/>
    <row r="114" ht="26.4" customHeight="1" s="70"/>
    <row r="115" ht="26.4" customHeight="1" s="70"/>
    <row r="116" ht="26.4" customHeight="1" s="70"/>
    <row r="117" ht="26.4" customHeight="1" s="70"/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selection activeCell="E75" sqref="E75"/>
    </sheetView>
  </sheetViews>
  <sheetFormatPr baseColWidth="8" defaultRowHeight="17.4"/>
  <cols>
    <col width="8.19921875" bestFit="1" customWidth="1" style="70" min="1" max="1"/>
    <col width="53.19921875" bestFit="1" customWidth="1" style="70" min="2" max="2"/>
    <col width="15" bestFit="1" customWidth="1" style="70" min="3" max="3"/>
    <col width="6.09765625" bestFit="1" customWidth="1" style="70" min="5" max="6"/>
    <col width="5.19921875" bestFit="1" customWidth="1" style="70" min="7" max="8"/>
    <col width="11" bestFit="1" customWidth="1" style="70" min="9" max="9"/>
    <col width="6.09765625" bestFit="1" customWidth="1" style="70" min="10" max="10"/>
    <col width="6.5" bestFit="1" customWidth="1" style="70" min="11" max="11"/>
  </cols>
  <sheetData>
    <row r="1">
      <c r="A1" s="66" t="inlineStr">
        <is>
          <t>2.경기지역본부 현장 점유율 현황</t>
        </is>
      </c>
    </row>
    <row r="2">
      <c r="A2" s="1" t="inlineStr">
        <is>
          <t>지부</t>
        </is>
      </c>
      <c r="B2" s="1" t="inlineStr">
        <is>
          <t>현장명</t>
        </is>
      </c>
      <c r="C2" s="1" t="inlineStr">
        <is>
          <t>타워회사</t>
        </is>
      </c>
      <c r="D2" s="1" t="inlineStr">
        <is>
          <t>특이사항</t>
        </is>
      </c>
      <c r="E2" s="2" t="inlineStr">
        <is>
          <t>한노</t>
        </is>
      </c>
      <c r="F2" s="3" t="inlineStr">
        <is>
          <t>민노</t>
        </is>
      </c>
      <c r="G2" s="4" t="inlineStr">
        <is>
          <t>섬유</t>
        </is>
      </c>
      <c r="H2" s="5" t="inlineStr">
        <is>
          <t>건산</t>
        </is>
      </c>
      <c r="I2" s="6" t="inlineStr">
        <is>
          <t>직원</t>
        </is>
      </c>
      <c r="J2" s="7" t="inlineStr">
        <is>
          <t>미정</t>
        </is>
      </c>
      <c r="K2" s="1" t="inlineStr">
        <is>
          <t>총대수</t>
        </is>
      </c>
      <c r="L2" s="1" t="inlineStr">
        <is>
          <t>비고</t>
        </is>
      </c>
    </row>
    <row r="3">
      <c r="A3" s="11" t="inlineStr">
        <is>
          <t>북부</t>
        </is>
      </c>
      <c r="B3" s="11" t="inlineStr">
        <is>
          <t>복정동 한라건설</t>
        </is>
      </c>
      <c r="C3" s="11" t="inlineStr">
        <is>
          <t>주식회사 백산렌탈</t>
        </is>
      </c>
      <c r="D3" s="11" t="n"/>
      <c r="E3" s="11" t="n">
        <v>1</v>
      </c>
      <c r="F3" s="11" t="n">
        <v>1</v>
      </c>
      <c r="G3" s="11" t="n">
        <v>0</v>
      </c>
      <c r="H3" s="11" t="n">
        <v>0</v>
      </c>
      <c r="I3" s="11" t="n">
        <v>0</v>
      </c>
      <c r="J3" s="11" t="n">
        <v>0</v>
      </c>
      <c r="K3" s="9" t="n">
        <v>2</v>
      </c>
      <c r="L3" s="13" t="n"/>
    </row>
    <row r="4">
      <c r="A4" s="11" t="inlineStr">
        <is>
          <t>북부</t>
        </is>
      </c>
      <c r="B4" s="11" t="inlineStr">
        <is>
          <t>성남동원건설</t>
        </is>
      </c>
      <c r="C4" s="11" t="inlineStr">
        <is>
          <t>(주)대원타워렌탈</t>
        </is>
      </c>
      <c r="D4" s="11" t="n"/>
      <c r="E4" s="11" t="n">
        <v>1</v>
      </c>
      <c r="F4" s="11" t="n">
        <v>1</v>
      </c>
      <c r="G4" s="11" t="n">
        <v>0</v>
      </c>
      <c r="H4" s="11" t="n">
        <v>0</v>
      </c>
      <c r="I4" s="11" t="n">
        <v>1</v>
      </c>
      <c r="J4" s="11" t="n">
        <v>0</v>
      </c>
      <c r="K4" s="9" t="n">
        <v>3</v>
      </c>
      <c r="L4" s="13" t="n"/>
    </row>
    <row r="5" ht="26.4" customHeight="1" s="70">
      <c r="A5" s="11" t="inlineStr">
        <is>
          <t>북부</t>
        </is>
      </c>
      <c r="B5" s="11" t="inlineStr">
        <is>
          <t>제3판교 테크노밸리 상업 1-2,3블럭 업무시설 신축공사(동원건설산업)</t>
        </is>
      </c>
      <c r="C5" s="11" t="inlineStr">
        <is>
          <t>(주)대원타워렌탈</t>
        </is>
      </c>
      <c r="D5" s="11" t="n"/>
      <c r="E5" s="11" t="n">
        <v>1</v>
      </c>
      <c r="F5" s="11" t="n">
        <v>1</v>
      </c>
      <c r="G5" s="11" t="n">
        <v>0</v>
      </c>
      <c r="H5" s="11" t="n">
        <v>0</v>
      </c>
      <c r="I5" s="11" t="n">
        <v>1</v>
      </c>
      <c r="J5" s="11" t="n">
        <v>0</v>
      </c>
      <c r="K5" s="9" t="n">
        <v>3</v>
      </c>
      <c r="L5" s="67" t="n"/>
    </row>
    <row r="6" ht="26.4" customHeight="1" s="70">
      <c r="A6" s="14" t="inlineStr">
        <is>
          <t>북부지부 소계</t>
        </is>
      </c>
      <c r="B6" s="45" t="n"/>
      <c r="C6" s="45" t="n"/>
      <c r="D6" s="45" t="n"/>
      <c r="E6" s="14">
        <f>SUM(E3:E5)</f>
        <v/>
      </c>
      <c r="F6" s="14">
        <f>SUM(F3:F5)</f>
        <v/>
      </c>
      <c r="G6" s="14">
        <f>SUM(G3:G5)</f>
        <v/>
      </c>
      <c r="H6" s="14">
        <f>SUM(H3:H5)</f>
        <v/>
      </c>
      <c r="I6" s="14">
        <f>SUM(I3:I5)</f>
        <v/>
      </c>
      <c r="J6" s="14">
        <f>SUM(J3:J5)</f>
        <v/>
      </c>
      <c r="K6" s="14">
        <f>SUM(K3:K5)</f>
        <v/>
      </c>
      <c r="L6" s="45" t="n"/>
    </row>
    <row r="7" ht="31.2" customHeight="1" s="70">
      <c r="A7" s="43" t="inlineStr">
        <is>
          <t>소계퍼센테이지</t>
        </is>
      </c>
      <c r="B7" s="67" t="n"/>
      <c r="C7" s="67" t="n"/>
      <c r="D7" s="67" t="n"/>
      <c r="E7" s="78" t="n">
        <v>0.375</v>
      </c>
      <c r="F7" s="78" t="n">
        <v>0.375</v>
      </c>
      <c r="G7" s="78" t="n">
        <v>0</v>
      </c>
      <c r="H7" s="78" t="n">
        <v>0</v>
      </c>
      <c r="I7" s="78" t="n">
        <v>0.25</v>
      </c>
      <c r="J7" s="78" t="n">
        <v>0</v>
      </c>
      <c r="K7" s="46" t="n">
        <v>1</v>
      </c>
      <c r="L7" s="67" t="n"/>
    </row>
    <row r="8">
      <c r="A8" s="11" t="inlineStr">
        <is>
          <t>남부</t>
        </is>
      </c>
      <c r="B8" s="11" t="inlineStr">
        <is>
          <t>동탄2 태영건설</t>
        </is>
      </c>
      <c r="C8" s="11" t="inlineStr">
        <is>
          <t>오투기계산업(주)</t>
        </is>
      </c>
      <c r="D8" s="11" t="n"/>
      <c r="E8" s="11" t="n">
        <v>2</v>
      </c>
      <c r="F8" s="11" t="n">
        <v>4</v>
      </c>
      <c r="G8" s="11" t="n">
        <v>0</v>
      </c>
      <c r="H8" s="11" t="n">
        <v>0</v>
      </c>
      <c r="I8" s="11" t="n">
        <v>2</v>
      </c>
      <c r="J8" s="11" t="n">
        <v>0</v>
      </c>
      <c r="K8" s="9" t="n">
        <v>8</v>
      </c>
      <c r="L8" s="13" t="n"/>
    </row>
    <row r="9">
      <c r="A9" s="11" t="inlineStr">
        <is>
          <t>남부</t>
        </is>
      </c>
      <c r="B9" s="11" t="inlineStr">
        <is>
          <t>동탄2 대우건설(국영)</t>
        </is>
      </c>
      <c r="C9" s="11" t="inlineStr">
        <is>
          <t>(주)국영타워랜드</t>
        </is>
      </c>
      <c r="D9" s="11" t="n"/>
      <c r="E9" s="11" t="n">
        <v>2</v>
      </c>
      <c r="F9" s="11" t="n">
        <v>2</v>
      </c>
      <c r="G9" s="11" t="n">
        <v>1</v>
      </c>
      <c r="H9" s="11" t="n">
        <v>1</v>
      </c>
      <c r="I9" s="11" t="n">
        <v>0</v>
      </c>
      <c r="J9" s="11" t="n">
        <v>0</v>
      </c>
      <c r="K9" s="9" t="n">
        <v>6</v>
      </c>
      <c r="L9" s="13" t="n"/>
    </row>
    <row r="10" ht="26.4" customHeight="1" s="70">
      <c r="A10" s="11" t="inlineStr">
        <is>
          <t>남부</t>
        </is>
      </c>
      <c r="B10" s="11" t="inlineStr">
        <is>
          <t>동탄2 대우건설(동양)</t>
        </is>
      </c>
      <c r="C10" s="11" t="inlineStr">
        <is>
          <t>(주)동양타워엔지니어링</t>
        </is>
      </c>
      <c r="D10" s="11" t="n"/>
      <c r="E10" s="11" t="n">
        <v>1</v>
      </c>
      <c r="F10" s="11" t="n">
        <v>2</v>
      </c>
      <c r="G10" s="11" t="n">
        <v>0</v>
      </c>
      <c r="H10" s="11" t="n">
        <v>1</v>
      </c>
      <c r="I10" s="11" t="n">
        <v>1</v>
      </c>
      <c r="J10" s="11" t="n">
        <v>0</v>
      </c>
      <c r="K10" s="9" t="n">
        <v>5</v>
      </c>
      <c r="L10" s="13" t="n"/>
    </row>
    <row r="11">
      <c r="A11" s="11" t="inlineStr">
        <is>
          <t>남부</t>
        </is>
      </c>
      <c r="B11" s="11" t="inlineStr">
        <is>
          <t>동탄2 한토</t>
        </is>
      </c>
      <c r="C11" s="11" t="inlineStr">
        <is>
          <t>국제산업렌탈(주)</t>
        </is>
      </c>
      <c r="D11" s="11" t="n"/>
      <c r="E11" s="11" t="n">
        <v>1</v>
      </c>
      <c r="F11" s="11" t="n">
        <v>1</v>
      </c>
      <c r="G11" s="11" t="n">
        <v>0</v>
      </c>
      <c r="H11" s="11" t="n">
        <v>0</v>
      </c>
      <c r="I11" s="11" t="n">
        <v>1</v>
      </c>
      <c r="J11" s="11" t="n">
        <v>0</v>
      </c>
      <c r="K11" s="9" t="n">
        <v>3</v>
      </c>
      <c r="L11" s="13" t="n"/>
    </row>
    <row r="12">
      <c r="A12" s="11" t="inlineStr">
        <is>
          <t>남부</t>
        </is>
      </c>
      <c r="B12" s="11" t="inlineStr">
        <is>
          <t>평택브레인시티 동원</t>
        </is>
      </c>
      <c r="C12" s="11" t="inlineStr">
        <is>
          <t>(주)우성건설기계</t>
        </is>
      </c>
      <c r="D12" s="11" t="n"/>
      <c r="E12" s="11" t="n">
        <v>2</v>
      </c>
      <c r="F12" s="11" t="n">
        <v>3</v>
      </c>
      <c r="G12" s="11" t="n">
        <v>0</v>
      </c>
      <c r="H12" s="11" t="n">
        <v>0</v>
      </c>
      <c r="I12" s="11" t="n">
        <v>1</v>
      </c>
      <c r="J12" s="11" t="n">
        <v>0</v>
      </c>
      <c r="K12" s="9" t="n">
        <v>6</v>
      </c>
      <c r="L12" s="13" t="n"/>
    </row>
    <row r="13">
      <c r="A13" s="11" t="inlineStr">
        <is>
          <t>남부</t>
        </is>
      </c>
      <c r="B13" s="11" t="inlineStr">
        <is>
          <t>평택고덕 대우건설(썬타워)</t>
        </is>
      </c>
      <c r="C13" s="11" t="inlineStr">
        <is>
          <t>(주)썬타워</t>
        </is>
      </c>
      <c r="D13" s="11" t="n"/>
      <c r="E13" s="11" t="n">
        <v>1</v>
      </c>
      <c r="F13" s="11" t="n">
        <v>2</v>
      </c>
      <c r="G13" s="11" t="n">
        <v>0</v>
      </c>
      <c r="H13" s="11" t="n">
        <v>1</v>
      </c>
      <c r="I13" s="11" t="n">
        <v>0</v>
      </c>
      <c r="J13" s="11" t="n">
        <v>0</v>
      </c>
      <c r="K13" s="9" t="n">
        <v>4</v>
      </c>
      <c r="L13" s="13" t="n"/>
    </row>
    <row r="14">
      <c r="A14" s="11" t="inlineStr">
        <is>
          <t>남부</t>
        </is>
      </c>
      <c r="B14" s="11" t="inlineStr">
        <is>
          <t>평택고덕 대우건설(한산타워)</t>
        </is>
      </c>
      <c r="C14" s="11" t="inlineStr">
        <is>
          <t>주식회사 한산타워</t>
        </is>
      </c>
      <c r="D14" s="11" t="n"/>
      <c r="E14" s="11" t="n">
        <v>1</v>
      </c>
      <c r="F14" s="11" t="n">
        <v>2</v>
      </c>
      <c r="G14" s="11" t="n">
        <v>0</v>
      </c>
      <c r="H14" s="11" t="n">
        <v>0</v>
      </c>
      <c r="I14" s="11" t="n">
        <v>1</v>
      </c>
      <c r="J14" s="11" t="n">
        <v>0</v>
      </c>
      <c r="K14" s="9" t="n">
        <v>4</v>
      </c>
      <c r="L14" s="13" t="n"/>
    </row>
    <row r="15">
      <c r="A15" s="11" t="inlineStr">
        <is>
          <t>남부</t>
        </is>
      </c>
      <c r="B15" s="11" t="inlineStr">
        <is>
          <t>화양지구 쌍용</t>
        </is>
      </c>
      <c r="C15" s="11" t="inlineStr">
        <is>
          <t>(주)예림타워</t>
        </is>
      </c>
      <c r="D15" s="11" t="n"/>
      <c r="E15" s="11" t="n">
        <v>2</v>
      </c>
      <c r="F15" s="11" t="n">
        <v>3</v>
      </c>
      <c r="G15" s="11" t="n">
        <v>1</v>
      </c>
      <c r="H15" s="11" t="n">
        <v>0</v>
      </c>
      <c r="I15" s="11" t="n">
        <v>1</v>
      </c>
      <c r="J15" s="11" t="n">
        <v>0</v>
      </c>
      <c r="K15" s="9" t="n">
        <v>7</v>
      </c>
      <c r="L15" s="13" t="n"/>
    </row>
    <row r="16">
      <c r="A16" s="11" t="inlineStr">
        <is>
          <t>남부</t>
        </is>
      </c>
      <c r="B16" s="11" t="inlineStr">
        <is>
          <t>안성농심</t>
        </is>
      </c>
      <c r="C16" s="11" t="inlineStr">
        <is>
          <t>(주)오성산업</t>
        </is>
      </c>
      <c r="D16" s="11" t="n"/>
      <c r="E16" s="11" t="n">
        <v>1</v>
      </c>
      <c r="F16" s="11" t="n">
        <v>2</v>
      </c>
      <c r="G16" s="11" t="n">
        <v>0</v>
      </c>
      <c r="H16" s="11" t="n">
        <v>0</v>
      </c>
      <c r="I16" s="11" t="n">
        <v>1</v>
      </c>
      <c r="J16" s="11" t="n">
        <v>0</v>
      </c>
      <c r="K16" s="9" t="n">
        <v>4</v>
      </c>
      <c r="L16" s="13" t="n"/>
    </row>
    <row r="17">
      <c r="A17" s="11" t="inlineStr">
        <is>
          <t>남부</t>
        </is>
      </c>
      <c r="B17" s="11" t="inlineStr">
        <is>
          <t>안성건영</t>
        </is>
      </c>
      <c r="C17" s="11" t="inlineStr">
        <is>
          <t>(주)중앙티씨렌탈</t>
        </is>
      </c>
      <c r="D17" s="11" t="n"/>
      <c r="E17" s="11" t="n">
        <v>0</v>
      </c>
      <c r="F17" s="11" t="n">
        <v>1</v>
      </c>
      <c r="G17" s="11" t="n">
        <v>0</v>
      </c>
      <c r="H17" s="11" t="n">
        <v>0</v>
      </c>
      <c r="I17" s="11" t="n">
        <v>1</v>
      </c>
      <c r="J17" s="11" t="n">
        <v>0</v>
      </c>
      <c r="K17" s="9" t="n">
        <v>2</v>
      </c>
      <c r="L17" s="13" t="n"/>
    </row>
    <row r="18">
      <c r="A18" s="11" t="inlineStr">
        <is>
          <t>남부</t>
        </is>
      </c>
      <c r="B18" s="11" t="inlineStr">
        <is>
          <t>동탄2 서희27블럭</t>
        </is>
      </c>
      <c r="C18" s="11" t="inlineStr">
        <is>
          <t>주식회사 우정타워</t>
        </is>
      </c>
      <c r="D18" s="11" t="n"/>
      <c r="E18" s="11" t="n">
        <v>0</v>
      </c>
      <c r="F18" s="11" t="n">
        <v>2</v>
      </c>
      <c r="G18" s="11" t="n">
        <v>0</v>
      </c>
      <c r="H18" s="11" t="n">
        <v>1</v>
      </c>
      <c r="I18" s="11" t="n">
        <v>1</v>
      </c>
      <c r="J18" s="11" t="n">
        <v>0</v>
      </c>
      <c r="K18" s="9" t="n">
        <v>4</v>
      </c>
      <c r="L18" s="13" t="n"/>
    </row>
    <row r="19">
      <c r="A19" s="11" t="inlineStr">
        <is>
          <t>남부</t>
        </is>
      </c>
      <c r="B19" s="47" t="inlineStr">
        <is>
          <t>63블럭 금호</t>
        </is>
      </c>
      <c r="C19" s="11" t="inlineStr">
        <is>
          <t>탑랜드</t>
        </is>
      </c>
      <c r="D19" s="11" t="n"/>
      <c r="E19" s="11" t="n">
        <v>1</v>
      </c>
      <c r="F19" s="11" t="n">
        <v>2</v>
      </c>
      <c r="G19" s="11" t="n">
        <v>0</v>
      </c>
      <c r="H19" s="11" t="n">
        <v>0</v>
      </c>
      <c r="I19" s="11" t="n">
        <v>1</v>
      </c>
      <c r="J19" s="11" t="n">
        <v>0</v>
      </c>
      <c r="K19" s="9" t="n">
        <v>4</v>
      </c>
      <c r="L19" s="13" t="n"/>
    </row>
    <row r="20">
      <c r="A20" s="11" t="inlineStr">
        <is>
          <t>남부</t>
        </is>
      </c>
      <c r="B20" s="11" t="inlineStr">
        <is>
          <t>평택고덕 금호건설 64bl</t>
        </is>
      </c>
      <c r="C20" s="11" t="inlineStr">
        <is>
          <t>정호개발주식회사</t>
        </is>
      </c>
      <c r="D20" s="11" t="n"/>
      <c r="E20" s="11" t="n">
        <v>1</v>
      </c>
      <c r="F20" s="11" t="n">
        <v>2</v>
      </c>
      <c r="G20" s="11" t="n">
        <v>0</v>
      </c>
      <c r="H20" s="11" t="n">
        <v>0</v>
      </c>
      <c r="I20" s="11" t="n">
        <v>0</v>
      </c>
      <c r="J20" s="11" t="n">
        <v>0</v>
      </c>
      <c r="K20" s="9" t="n">
        <v>3</v>
      </c>
      <c r="L20" s="67" t="n"/>
    </row>
    <row r="21" ht="26.4" customHeight="1" s="70">
      <c r="A21" s="11" t="inlineStr">
        <is>
          <t>남부</t>
        </is>
      </c>
      <c r="B21" s="11" t="inlineStr">
        <is>
          <t>평택 고덕국제화계획지구 Abc-36BL 공동주택 신축공사</t>
        </is>
      </c>
      <c r="C21" s="11" t="inlineStr">
        <is>
          <t>(주)동양타워엔지니어링</t>
        </is>
      </c>
      <c r="D21" s="11" t="n"/>
      <c r="E21" s="11" t="n">
        <v>2</v>
      </c>
      <c r="F21" s="11" t="n">
        <v>3</v>
      </c>
      <c r="G21" s="11" t="n">
        <v>0</v>
      </c>
      <c r="H21" s="11" t="n">
        <v>0</v>
      </c>
      <c r="I21" s="11" t="n">
        <v>0</v>
      </c>
      <c r="J21" s="11" t="n">
        <v>1</v>
      </c>
      <c r="K21" s="9" t="n">
        <v>6</v>
      </c>
      <c r="L21" s="67" t="n"/>
    </row>
    <row r="22" ht="26.4" customHeight="1" s="70">
      <c r="A22" s="14" t="inlineStr">
        <is>
          <t>남부지부 소계</t>
        </is>
      </c>
      <c r="B22" s="45" t="n"/>
      <c r="C22" s="45" t="n"/>
      <c r="D22" s="45" t="n"/>
      <c r="E22" s="14" t="n">
        <v>17</v>
      </c>
      <c r="F22" s="14" t="n">
        <v>31</v>
      </c>
      <c r="G22" s="14" t="n">
        <v>2</v>
      </c>
      <c r="H22" s="14" t="n">
        <v>4</v>
      </c>
      <c r="I22" s="14" t="n">
        <v>11</v>
      </c>
      <c r="J22" s="14" t="n">
        <v>1</v>
      </c>
      <c r="K22" s="14" t="n">
        <v>66</v>
      </c>
      <c r="L22" s="45" t="n"/>
    </row>
    <row r="23" ht="31.2" customHeight="1" s="70">
      <c r="A23" s="43" t="inlineStr">
        <is>
          <t>소계퍼센테이지</t>
        </is>
      </c>
      <c r="B23" s="67" t="n"/>
      <c r="C23" s="67" t="n"/>
      <c r="D23" s="67" t="n"/>
      <c r="E23" s="78" t="n">
        <v>0.2575757575757576</v>
      </c>
      <c r="F23" s="78" t="n">
        <v>0.4696969696969697</v>
      </c>
      <c r="G23" s="78" t="n">
        <v>0.0303030303030303</v>
      </c>
      <c r="H23" s="78" t="n">
        <v>0.06060606060606061</v>
      </c>
      <c r="I23" s="78" t="n">
        <v>0.1666666666666667</v>
      </c>
      <c r="J23" s="78" t="n">
        <v>0.01515151515151515</v>
      </c>
      <c r="K23" s="46" t="n">
        <v>1</v>
      </c>
      <c r="L23" s="67" t="n"/>
    </row>
    <row r="24" ht="26.4" customHeight="1" s="70">
      <c r="A24" s="11" t="inlineStr">
        <is>
          <t>남서</t>
        </is>
      </c>
      <c r="B24" s="11" t="inlineStr">
        <is>
          <t>남양우미린</t>
        </is>
      </c>
      <c r="C24" s="11" t="inlineStr">
        <is>
          <t>뉴월드타워 주식회사</t>
        </is>
      </c>
      <c r="D24" s="11" t="n"/>
      <c r="E24" s="11" t="n">
        <v>1</v>
      </c>
      <c r="F24" s="11" t="n">
        <v>1</v>
      </c>
      <c r="G24" s="11" t="n">
        <v>0</v>
      </c>
      <c r="H24" s="11" t="n">
        <v>0</v>
      </c>
      <c r="I24" s="11" t="n">
        <v>1</v>
      </c>
      <c r="J24" s="11" t="n">
        <v>0</v>
      </c>
      <c r="K24" s="9" t="n">
        <v>3</v>
      </c>
      <c r="L24" s="13" t="n"/>
    </row>
    <row r="25">
      <c r="A25" s="11" t="inlineStr">
        <is>
          <t>남서</t>
        </is>
      </c>
      <c r="B25" s="11" t="inlineStr">
        <is>
          <t>화성비봉 지역주택조합 아파트 신축공사</t>
        </is>
      </c>
      <c r="C25" s="11" t="inlineStr">
        <is>
          <t>주식회사 삼진타워</t>
        </is>
      </c>
      <c r="D25" s="48" t="n"/>
      <c r="E25" s="11" t="n">
        <v>1</v>
      </c>
      <c r="F25" s="11" t="n">
        <v>1</v>
      </c>
      <c r="G25" s="11" t="n">
        <v>0</v>
      </c>
      <c r="H25" s="11" t="n">
        <v>0</v>
      </c>
      <c r="I25" s="11" t="n">
        <v>1</v>
      </c>
      <c r="J25" s="11" t="n">
        <v>2</v>
      </c>
      <c r="K25" s="9" t="n">
        <v>5</v>
      </c>
      <c r="L25" s="13" t="n"/>
    </row>
    <row r="26">
      <c r="A26" s="67" t="inlineStr">
        <is>
          <t>남서</t>
        </is>
      </c>
      <c r="B26" s="67" t="inlineStr">
        <is>
          <t>오산세교2지구 M1블록 민간임대 주상복합 신축공사</t>
        </is>
      </c>
      <c r="C26" s="67" t="inlineStr">
        <is>
          <t>(주)남산공영</t>
        </is>
      </c>
      <c r="D26" s="67" t="n"/>
      <c r="E26" s="67" t="n">
        <v>1</v>
      </c>
      <c r="F26" s="67" t="n">
        <v>1</v>
      </c>
      <c r="G26" s="67" t="n">
        <v>0</v>
      </c>
      <c r="H26" s="67" t="n">
        <v>0</v>
      </c>
      <c r="I26" s="67" t="n">
        <v>0</v>
      </c>
      <c r="J26" s="67" t="n">
        <v>2</v>
      </c>
      <c r="K26" s="67" t="n">
        <v>4</v>
      </c>
      <c r="L26" s="67" t="n"/>
    </row>
    <row r="27" ht="26.4" customHeight="1" s="70">
      <c r="A27" s="14" t="inlineStr">
        <is>
          <t>남서지부 소계</t>
        </is>
      </c>
      <c r="B27" s="45" t="n"/>
      <c r="C27" s="45" t="n"/>
      <c r="D27" s="45" t="n"/>
      <c r="E27" s="14" t="n">
        <v>3</v>
      </c>
      <c r="F27" s="14" t="n">
        <v>3</v>
      </c>
      <c r="G27" s="14" t="n">
        <v>0</v>
      </c>
      <c r="H27" s="14" t="n">
        <v>0</v>
      </c>
      <c r="I27" s="14" t="n">
        <v>2</v>
      </c>
      <c r="J27" s="14" t="n">
        <v>4</v>
      </c>
      <c r="K27" s="14" t="n">
        <v>12</v>
      </c>
      <c r="L27" s="45" t="n"/>
    </row>
    <row r="28" ht="31.2" customHeight="1" s="70">
      <c r="A28" s="43" t="inlineStr">
        <is>
          <t>소계퍼센테이지</t>
        </is>
      </c>
      <c r="B28" s="67" t="n"/>
      <c r="C28" s="67" t="n"/>
      <c r="D28" s="67" t="n"/>
      <c r="E28" s="78" t="n">
        <v>0.25</v>
      </c>
      <c r="F28" s="78" t="n">
        <v>0.25</v>
      </c>
      <c r="G28" s="78" t="n">
        <v>0</v>
      </c>
      <c r="H28" s="78" t="n">
        <v>0</v>
      </c>
      <c r="I28" s="78" t="n">
        <v>0.1666666666666667</v>
      </c>
      <c r="J28" s="78" t="n">
        <v>0.3333333333333333</v>
      </c>
      <c r="K28" s="46" t="n">
        <v>1</v>
      </c>
      <c r="L28" s="67" t="n"/>
    </row>
    <row r="29" ht="26.4" customHeight="1" s="70">
      <c r="A29" s="15" t="inlineStr">
        <is>
          <t>동부</t>
        </is>
      </c>
      <c r="B29" s="15" t="inlineStr">
        <is>
          <t>이천한양</t>
        </is>
      </c>
      <c r="C29" s="15" t="inlineStr">
        <is>
          <t>주식회사 현성건설</t>
        </is>
      </c>
      <c r="D29" s="49" t="inlineStr">
        <is>
          <t>현성</t>
        </is>
      </c>
      <c r="E29" s="13" t="n">
        <v>0</v>
      </c>
      <c r="F29" s="13" t="n">
        <v>2</v>
      </c>
      <c r="G29" s="13" t="n">
        <v>0</v>
      </c>
      <c r="H29" s="13" t="n">
        <v>0</v>
      </c>
      <c r="I29" s="13" t="n">
        <v>0</v>
      </c>
      <c r="J29" s="13" t="n">
        <v>2</v>
      </c>
      <c r="K29" s="9" t="n">
        <v>0</v>
      </c>
      <c r="L29" s="15" t="inlineStr">
        <is>
          <t>통계제외</t>
        </is>
      </c>
    </row>
    <row r="30">
      <c r="A30" s="11" t="inlineStr">
        <is>
          <t>동부</t>
        </is>
      </c>
      <c r="B30" s="11" t="inlineStr">
        <is>
          <t>요진건설</t>
        </is>
      </c>
      <c r="C30" s="11" t="inlineStr">
        <is>
          <t>주식회사 한산타워</t>
        </is>
      </c>
      <c r="D30" s="11" t="n"/>
      <c r="E30" s="11" t="n">
        <v>1</v>
      </c>
      <c r="F30" s="11" t="n">
        <v>1</v>
      </c>
      <c r="G30" s="11" t="n">
        <v>0</v>
      </c>
      <c r="H30" s="11" t="n">
        <v>0</v>
      </c>
      <c r="I30" s="11" t="n">
        <v>0</v>
      </c>
      <c r="J30" s="11" t="n">
        <v>0</v>
      </c>
      <c r="K30" s="9" t="n">
        <v>2</v>
      </c>
      <c r="L30" s="13" t="n"/>
    </row>
    <row r="31">
      <c r="A31" s="67" t="inlineStr">
        <is>
          <t>동부</t>
        </is>
      </c>
      <c r="B31" s="67" t="inlineStr">
        <is>
          <t>홍문2지구 공동주택</t>
        </is>
      </c>
      <c r="C31" s="67" t="inlineStr">
        <is>
          <t>(주)한진</t>
        </is>
      </c>
      <c r="D31" s="67" t="n"/>
      <c r="E31" s="67" t="n">
        <v>1</v>
      </c>
      <c r="F31" s="67" t="n">
        <v>1</v>
      </c>
      <c r="G31" s="67" t="n"/>
      <c r="H31" s="67" t="n"/>
      <c r="I31" s="67" t="n"/>
      <c r="J31" s="67" t="n">
        <v>2</v>
      </c>
      <c r="K31" s="67" t="n">
        <v>4</v>
      </c>
      <c r="L31" s="67" t="n"/>
    </row>
    <row r="32" ht="26.4" customHeight="1" s="70">
      <c r="A32" s="14" t="inlineStr">
        <is>
          <t>동부지부 소계</t>
        </is>
      </c>
      <c r="B32" s="45" t="n"/>
      <c r="C32" s="45" t="n"/>
      <c r="D32" s="45" t="n"/>
      <c r="E32" s="14" t="n">
        <v>2</v>
      </c>
      <c r="F32" s="14" t="n">
        <v>2</v>
      </c>
      <c r="G32" s="14">
        <f>SUM(G27:G28)-G27</f>
        <v/>
      </c>
      <c r="H32" s="14">
        <f>SUM(H27:H28)-H27</f>
        <v/>
      </c>
      <c r="I32" s="14" t="n">
        <v>0</v>
      </c>
      <c r="J32" s="14">
        <f>SUM(J29:J30)</f>
        <v/>
      </c>
      <c r="K32" s="14" t="n">
        <v>6</v>
      </c>
      <c r="L32" s="45" t="n"/>
    </row>
    <row r="33" ht="31.2" customHeight="1" s="70">
      <c r="A33" s="43" t="inlineStr">
        <is>
          <t>소계퍼센테이지</t>
        </is>
      </c>
      <c r="B33" s="67" t="n"/>
      <c r="C33" s="67" t="n"/>
      <c r="D33" s="67" t="n"/>
      <c r="E33" s="78" t="n">
        <v>0.3333333333333333</v>
      </c>
      <c r="F33" s="78" t="n">
        <v>0.3333333333333333</v>
      </c>
      <c r="G33" s="78" t="n">
        <v>0</v>
      </c>
      <c r="H33" s="78" t="n">
        <v>0</v>
      </c>
      <c r="I33" s="78" t="n">
        <v>0</v>
      </c>
      <c r="J33" s="78" t="n">
        <v>0.3333333333333333</v>
      </c>
      <c r="K33" s="46" t="n">
        <v>1</v>
      </c>
      <c r="L33" s="67" t="n"/>
    </row>
    <row r="34">
      <c r="A34" s="11" t="inlineStr">
        <is>
          <t>서부</t>
        </is>
      </c>
      <c r="B34" s="11" t="inlineStr">
        <is>
          <t>시화mtv주차장</t>
        </is>
      </c>
      <c r="C34" s="11" t="inlineStr">
        <is>
          <t>우리기계</t>
        </is>
      </c>
      <c r="D34" s="11" t="n"/>
      <c r="E34" s="11" t="n">
        <v>1</v>
      </c>
      <c r="F34" s="11" t="n">
        <v>1</v>
      </c>
      <c r="G34" s="11" t="n">
        <v>0</v>
      </c>
      <c r="H34" s="11" t="n">
        <v>1</v>
      </c>
      <c r="I34" s="11" t="n">
        <v>0</v>
      </c>
      <c r="J34" s="11" t="n">
        <v>0</v>
      </c>
      <c r="K34" s="9" t="n">
        <v>3</v>
      </c>
      <c r="L34" s="13" t="n"/>
    </row>
    <row r="35">
      <c r="A35" s="11" t="inlineStr">
        <is>
          <t>서부</t>
        </is>
      </c>
      <c r="B35" s="11" t="inlineStr">
        <is>
          <t>안산프로젝트팀부크(현대건설)</t>
        </is>
      </c>
      <c r="C35" s="11" t="inlineStr">
        <is>
          <t>주식회사 한불타워</t>
        </is>
      </c>
      <c r="D35" s="11" t="n"/>
      <c r="E35" s="11" t="n">
        <v>1</v>
      </c>
      <c r="F35" s="11" t="n">
        <v>1</v>
      </c>
      <c r="G35" s="11" t="n">
        <v>0</v>
      </c>
      <c r="H35" s="11" t="n">
        <v>0</v>
      </c>
      <c r="I35" s="11" t="n">
        <v>0</v>
      </c>
      <c r="J35" s="11" t="n">
        <v>0</v>
      </c>
      <c r="K35" s="9" t="n">
        <v>2</v>
      </c>
      <c r="L35" s="13" t="n"/>
    </row>
    <row r="36">
      <c r="A36" s="11" t="inlineStr">
        <is>
          <t>서부</t>
        </is>
      </c>
      <c r="B36" s="11" t="inlineStr">
        <is>
          <t>안산글로벌클라우드(삼성물산)</t>
        </is>
      </c>
      <c r="C36" s="11" t="inlineStr">
        <is>
          <t>정호개발주식회사</t>
        </is>
      </c>
      <c r="D36" s="11" t="n"/>
      <c r="E36" s="11" t="n">
        <v>1</v>
      </c>
      <c r="F36" s="11" t="n">
        <v>1</v>
      </c>
      <c r="G36" s="11" t="n">
        <v>0</v>
      </c>
      <c r="H36" s="11" t="n">
        <v>0</v>
      </c>
      <c r="I36" s="11" t="n">
        <v>0</v>
      </c>
      <c r="J36" s="11" t="n">
        <v>0</v>
      </c>
      <c r="K36" s="9" t="n">
        <v>2</v>
      </c>
      <c r="L36" s="13" t="n"/>
    </row>
    <row r="37">
      <c r="A37" s="11" t="inlineStr">
        <is>
          <t>서부</t>
        </is>
      </c>
      <c r="B37" s="11" t="inlineStr">
        <is>
          <t>하중지구 한신공영</t>
        </is>
      </c>
      <c r="C37" s="11" t="inlineStr">
        <is>
          <t>(주)신화중공업</t>
        </is>
      </c>
      <c r="D37" s="11" t="n"/>
      <c r="E37" s="11" t="n">
        <v>1</v>
      </c>
      <c r="F37" s="11" t="n">
        <v>1</v>
      </c>
      <c r="G37" s="11" t="n">
        <v>0</v>
      </c>
      <c r="H37" s="11" t="n">
        <v>0</v>
      </c>
      <c r="I37" s="11" t="n">
        <v>2</v>
      </c>
      <c r="J37" s="11" t="n">
        <v>0</v>
      </c>
      <c r="K37" s="9" t="n">
        <v>4</v>
      </c>
      <c r="L37" s="13" t="n"/>
    </row>
    <row r="38">
      <c r="A38" s="11" t="inlineStr">
        <is>
          <t>서부</t>
        </is>
      </c>
      <c r="B38" s="11" t="inlineStr">
        <is>
          <t>하중지구 양우건설</t>
        </is>
      </c>
      <c r="C38" s="11" t="inlineStr">
        <is>
          <t>(주)진성타워</t>
        </is>
      </c>
      <c r="D38" s="49" t="n"/>
      <c r="E38" s="11" t="n">
        <v>0</v>
      </c>
      <c r="F38" s="11" t="n">
        <v>2</v>
      </c>
      <c r="G38" s="11" t="n">
        <v>0</v>
      </c>
      <c r="H38" s="11" t="n">
        <v>0</v>
      </c>
      <c r="I38" s="11" t="n">
        <v>1</v>
      </c>
      <c r="J38" s="11" t="n">
        <v>0</v>
      </c>
      <c r="K38" s="9" t="n">
        <v>3</v>
      </c>
      <c r="L38" s="13" t="n"/>
    </row>
    <row r="39">
      <c r="A39" s="11" t="inlineStr">
        <is>
          <t>서부</t>
        </is>
      </c>
      <c r="B39" s="11" t="inlineStr">
        <is>
          <t>시흥거모지구 S-2BL,B-2BL(대방산업개발)</t>
        </is>
      </c>
      <c r="C39" s="11" t="inlineStr">
        <is>
          <t>주식회사 우정타워</t>
        </is>
      </c>
      <c r="D39" s="11" t="n"/>
      <c r="E39" s="11" t="n">
        <v>1</v>
      </c>
      <c r="F39" s="11" t="n">
        <v>2</v>
      </c>
      <c r="G39" s="11" t="n">
        <v>0</v>
      </c>
      <c r="H39" s="11" t="n">
        <v>0</v>
      </c>
      <c r="I39" s="11" t="n">
        <v>2</v>
      </c>
      <c r="J39" s="11" t="n">
        <v>0</v>
      </c>
      <c r="K39" s="9" t="n">
        <v>5</v>
      </c>
      <c r="L39" s="13" t="n"/>
    </row>
    <row r="40">
      <c r="A40" s="11" t="inlineStr">
        <is>
          <t>서부</t>
        </is>
      </c>
      <c r="B40" s="11" t="inlineStr">
        <is>
          <t>배곧서울대학교병원</t>
        </is>
      </c>
      <c r="C40" s="11" t="inlineStr">
        <is>
          <t>(주)타워링</t>
        </is>
      </c>
      <c r="D40" s="11" t="n"/>
      <c r="E40" s="11" t="n">
        <v>1</v>
      </c>
      <c r="F40" s="11" t="n">
        <v>1</v>
      </c>
      <c r="G40" s="11" t="n">
        <v>0</v>
      </c>
      <c r="H40" s="11" t="n">
        <v>0</v>
      </c>
      <c r="I40" s="11" t="n">
        <v>0</v>
      </c>
      <c r="J40" s="11" t="n">
        <v>0</v>
      </c>
      <c r="K40" s="9" t="n">
        <v>2</v>
      </c>
      <c r="L40" s="13" t="n"/>
    </row>
    <row r="41">
      <c r="A41" s="11" t="inlineStr">
        <is>
          <t>서부</t>
        </is>
      </c>
      <c r="B41" s="11" t="inlineStr">
        <is>
          <t>시흥하중 A-1BL 공동주택 건설공사</t>
        </is>
      </c>
      <c r="C41" s="11" t="inlineStr">
        <is>
          <t>(주)규람타워렌탈</t>
        </is>
      </c>
      <c r="D41" s="11" t="n"/>
      <c r="E41" s="11" t="n">
        <v>1</v>
      </c>
      <c r="F41" s="11" t="n">
        <v>1</v>
      </c>
      <c r="G41" s="11" t="n">
        <v>0</v>
      </c>
      <c r="H41" s="11" t="n">
        <v>0</v>
      </c>
      <c r="I41" s="11" t="n">
        <v>0</v>
      </c>
      <c r="J41" s="11" t="n">
        <v>2</v>
      </c>
      <c r="K41" s="9" t="n">
        <v>4</v>
      </c>
      <c r="L41" s="13" t="n"/>
    </row>
    <row r="42">
      <c r="A42" s="67" t="inlineStr">
        <is>
          <t>서부</t>
        </is>
      </c>
      <c r="B42" s="67" t="inlineStr">
        <is>
          <t>시흥시 거모지구 B-1블록 공동주택 신축공사</t>
        </is>
      </c>
      <c r="C42" s="67" t="inlineStr">
        <is>
          <t>주식회사 필웍스</t>
        </is>
      </c>
      <c r="D42" s="67" t="n"/>
      <c r="E42" s="67" t="n">
        <v>1</v>
      </c>
      <c r="F42" s="67" t="n">
        <v>2</v>
      </c>
      <c r="G42" s="67" t="n">
        <v>1</v>
      </c>
      <c r="H42" s="67" t="n">
        <v>0</v>
      </c>
      <c r="I42" s="67" t="n">
        <v>0</v>
      </c>
      <c r="J42" s="67" t="n">
        <v>0</v>
      </c>
      <c r="K42" s="67" t="n">
        <v>4</v>
      </c>
      <c r="L42" s="67" t="n"/>
    </row>
    <row r="43">
      <c r="A43" s="67" t="inlineStr">
        <is>
          <t>서부</t>
        </is>
      </c>
      <c r="B43" s="67" t="inlineStr">
        <is>
          <t>시흥거모 B-6BL 모아엘가&amp;대광로제비앙 공동주택 신축공사</t>
        </is>
      </c>
      <c r="C43" s="67" t="inlineStr">
        <is>
          <t>(주)금강건기</t>
        </is>
      </c>
      <c r="D43" s="67" t="n"/>
      <c r="E43" s="67" t="n">
        <v>1</v>
      </c>
      <c r="F43" s="67" t="n">
        <v>2</v>
      </c>
      <c r="G43" s="67" t="n">
        <v>0</v>
      </c>
      <c r="H43" s="67" t="n">
        <v>0</v>
      </c>
      <c r="I43" s="67" t="n">
        <v>1</v>
      </c>
      <c r="J43" s="67" t="n">
        <v>0</v>
      </c>
      <c r="K43" s="67" t="n">
        <v>4</v>
      </c>
      <c r="L43" s="67" t="n"/>
    </row>
    <row r="44" ht="26.4" customHeight="1" s="70">
      <c r="A44" s="14" t="inlineStr">
        <is>
          <t>서부지부 소계</t>
        </is>
      </c>
      <c r="B44" s="45" t="n"/>
      <c r="C44" s="45" t="n"/>
      <c r="D44" s="45" t="n"/>
      <c r="E44" s="14" t="n">
        <v>9</v>
      </c>
      <c r="F44" s="14" t="n">
        <v>14</v>
      </c>
      <c r="G44" s="14" t="n">
        <v>1</v>
      </c>
      <c r="H44" s="14" t="n">
        <v>1</v>
      </c>
      <c r="I44" s="14" t="n">
        <v>6</v>
      </c>
      <c r="J44" s="14" t="n">
        <v>2</v>
      </c>
      <c r="K44" s="14" t="n">
        <v>33</v>
      </c>
      <c r="L44" s="45" t="n"/>
    </row>
    <row r="45" ht="31.2" customHeight="1" s="70">
      <c r="A45" s="43" t="inlineStr">
        <is>
          <t>소계퍼센테이지</t>
        </is>
      </c>
      <c r="B45" s="67" t="n"/>
      <c r="C45" s="67" t="n"/>
      <c r="D45" s="67" t="n"/>
      <c r="E45" s="78" t="n">
        <v>0.2727272727272727</v>
      </c>
      <c r="F45" s="78" t="n">
        <v>0.4242424242424243</v>
      </c>
      <c r="G45" s="78" t="n">
        <v>0.0303030303030303</v>
      </c>
      <c r="H45" s="78" t="n">
        <v>0.0303030303030303</v>
      </c>
      <c r="I45" s="78" t="n">
        <v>0.1818181818181818</v>
      </c>
      <c r="J45" s="78" t="n">
        <v>0.06060606060606061</v>
      </c>
      <c r="K45" s="46" t="n">
        <v>1</v>
      </c>
      <c r="L45" s="67" t="n"/>
    </row>
    <row r="46">
      <c r="A46" s="11" t="inlineStr">
        <is>
          <t>북서</t>
        </is>
      </c>
      <c r="B46" s="11" t="inlineStr">
        <is>
          <t>군포시 SGC건설</t>
        </is>
      </c>
      <c r="C46" s="11" t="inlineStr">
        <is>
          <t>(주)한백산업</t>
        </is>
      </c>
      <c r="D46" s="11" t="n"/>
      <c r="E46" s="11" t="n">
        <v>2</v>
      </c>
      <c r="F46" s="11" t="n">
        <v>3</v>
      </c>
      <c r="G46" s="11" t="n">
        <v>1</v>
      </c>
      <c r="H46" s="11" t="n">
        <v>0</v>
      </c>
      <c r="I46" s="11" t="n">
        <v>1</v>
      </c>
      <c r="J46" s="11" t="n">
        <v>0</v>
      </c>
      <c r="K46" s="9" t="n">
        <v>7</v>
      </c>
      <c r="L46" s="13" t="n"/>
    </row>
    <row r="47">
      <c r="A47" s="11" t="inlineStr">
        <is>
          <t>북서</t>
        </is>
      </c>
      <c r="B47" s="50" t="inlineStr">
        <is>
          <t>관양동 DL이앤씨</t>
        </is>
      </c>
      <c r="C47" s="11" t="inlineStr">
        <is>
          <t>(주)한백산업</t>
        </is>
      </c>
      <c r="D47" s="49" t="n"/>
      <c r="E47" s="11" t="n">
        <v>2</v>
      </c>
      <c r="F47" s="11" t="n">
        <v>3</v>
      </c>
      <c r="G47" s="11" t="n">
        <v>0</v>
      </c>
      <c r="H47" s="11" t="n">
        <v>0</v>
      </c>
      <c r="I47" s="11" t="n">
        <v>1</v>
      </c>
      <c r="J47" s="11" t="n">
        <v>0</v>
      </c>
      <c r="K47" s="9" t="n">
        <v>6</v>
      </c>
      <c r="L47" s="13" t="n"/>
    </row>
    <row r="48" ht="26.4" customHeight="1" s="70">
      <c r="A48" s="11" t="inlineStr">
        <is>
          <t>북서</t>
        </is>
      </c>
      <c r="B48" s="11" t="inlineStr">
        <is>
          <t>관양동 DL이앤씨</t>
        </is>
      </c>
      <c r="C48" s="11" t="inlineStr">
        <is>
          <t>벽산중기산업주식회사</t>
        </is>
      </c>
      <c r="D48" s="49" t="n"/>
      <c r="E48" s="11" t="n">
        <v>1</v>
      </c>
      <c r="F48" s="11" t="n">
        <v>1</v>
      </c>
      <c r="G48" s="11" t="n">
        <v>0</v>
      </c>
      <c r="H48" s="11" t="n">
        <v>0</v>
      </c>
      <c r="I48" s="11" t="n">
        <v>0</v>
      </c>
      <c r="J48" s="11" t="n">
        <v>0</v>
      </c>
      <c r="K48" s="9" t="n">
        <v>2</v>
      </c>
      <c r="L48" s="13" t="n"/>
    </row>
    <row r="49">
      <c r="A49" s="11" t="inlineStr">
        <is>
          <t>북서</t>
        </is>
      </c>
      <c r="B49" s="11" t="inlineStr">
        <is>
          <t>의왕청계 시티건설</t>
        </is>
      </c>
      <c r="C49" s="11" t="inlineStr">
        <is>
          <t>주식회사 우정타워</t>
        </is>
      </c>
      <c r="D49" s="49" t="n"/>
      <c r="E49" s="11" t="n">
        <v>1</v>
      </c>
      <c r="F49" s="11" t="n">
        <v>1</v>
      </c>
      <c r="G49" s="11" t="n">
        <v>0</v>
      </c>
      <c r="H49" s="11" t="n">
        <v>0</v>
      </c>
      <c r="I49" s="11" t="n">
        <v>0</v>
      </c>
      <c r="J49" s="11" t="n">
        <v>0</v>
      </c>
      <c r="K49" s="9" t="n">
        <v>2</v>
      </c>
      <c r="L49" s="13" t="n"/>
    </row>
    <row r="50">
      <c r="A50" s="11" t="inlineStr">
        <is>
          <t>북서</t>
        </is>
      </c>
      <c r="B50" s="11" t="inlineStr">
        <is>
          <t>과천 태왕</t>
        </is>
      </c>
      <c r="C50" s="11" t="inlineStr">
        <is>
          <t>주식회사 비엠케이</t>
        </is>
      </c>
      <c r="D50" s="11" t="n"/>
      <c r="E50" s="11" t="n">
        <v>1</v>
      </c>
      <c r="F50" s="11" t="n">
        <v>2</v>
      </c>
      <c r="G50" s="11" t="n">
        <v>1</v>
      </c>
      <c r="H50" s="11" t="n">
        <v>1</v>
      </c>
      <c r="I50" s="11" t="n">
        <v>1</v>
      </c>
      <c r="J50" s="11" t="n">
        <v>0</v>
      </c>
      <c r="K50" s="9" t="n">
        <v>6</v>
      </c>
      <c r="L50" s="13" t="n"/>
    </row>
    <row r="51">
      <c r="A51" s="11" t="inlineStr">
        <is>
          <t>북서</t>
        </is>
      </c>
      <c r="B51" s="11" t="inlineStr">
        <is>
          <t>과천 주암동 디에이치 아델스타(현대건설)</t>
        </is>
      </c>
      <c r="C51" s="11" t="inlineStr">
        <is>
          <t>(주)국영타워랜드</t>
        </is>
      </c>
      <c r="D51" s="11" t="n"/>
      <c r="E51" s="11" t="n">
        <v>1</v>
      </c>
      <c r="F51" s="11" t="n">
        <v>3</v>
      </c>
      <c r="G51" s="11" t="n">
        <v>0</v>
      </c>
      <c r="H51" s="11" t="n">
        <v>0</v>
      </c>
      <c r="I51" s="11" t="n">
        <v>1</v>
      </c>
      <c r="J51" s="11" t="n">
        <v>0</v>
      </c>
      <c r="K51" s="9" t="n">
        <v>5</v>
      </c>
      <c r="L51" s="13" t="n"/>
    </row>
    <row r="52">
      <c r="A52" s="11" t="inlineStr">
        <is>
          <t>북서</t>
        </is>
      </c>
      <c r="B52" s="11" t="inlineStr">
        <is>
          <t>안양 샘병원</t>
        </is>
      </c>
      <c r="C52" s="11" t="inlineStr">
        <is>
          <t>주식회사 가람타워</t>
        </is>
      </c>
      <c r="D52" s="11" t="n"/>
      <c r="E52" s="11" t="n">
        <v>1</v>
      </c>
      <c r="F52" s="11" t="n">
        <v>0</v>
      </c>
      <c r="G52" s="11" t="n">
        <v>0</v>
      </c>
      <c r="H52" s="11" t="n">
        <v>0</v>
      </c>
      <c r="I52" s="11" t="n">
        <v>0</v>
      </c>
      <c r="J52" s="11" t="n">
        <v>0</v>
      </c>
      <c r="K52" s="9" t="n">
        <v>1</v>
      </c>
      <c r="L52" s="13" t="n"/>
    </row>
    <row r="53">
      <c r="A53" s="11" t="inlineStr">
        <is>
          <t>북서</t>
        </is>
      </c>
      <c r="B53" s="11" t="inlineStr">
        <is>
          <t>안양 박달동 신안아파트 재건축(현대산업개발)</t>
        </is>
      </c>
      <c r="C53" s="11" t="inlineStr">
        <is>
          <t>주식회사 비엠케이</t>
        </is>
      </c>
      <c r="D53" s="11" t="n"/>
      <c r="E53" s="11" t="n">
        <v>1</v>
      </c>
      <c r="F53" s="11" t="n">
        <v>2</v>
      </c>
      <c r="G53" s="11" t="n">
        <v>0</v>
      </c>
      <c r="H53" s="11" t="n">
        <v>0</v>
      </c>
      <c r="I53" s="11" t="n">
        <v>1</v>
      </c>
      <c r="J53" s="11" t="n">
        <v>0</v>
      </c>
      <c r="K53" s="9" t="n">
        <v>4</v>
      </c>
      <c r="L53" s="13" t="n"/>
    </row>
    <row r="54">
      <c r="A54" s="11" t="inlineStr">
        <is>
          <t>북서</t>
        </is>
      </c>
      <c r="B54" s="11" t="inlineStr">
        <is>
          <t>안양역세권지구 재개발정비사업(현대산업개발)</t>
        </is>
      </c>
      <c r="C54" s="11" t="inlineStr">
        <is>
          <t>오투기계산업(주)</t>
        </is>
      </c>
      <c r="D54" s="11" t="n"/>
      <c r="E54" s="11" t="n">
        <v>1</v>
      </c>
      <c r="F54" s="11" t="n">
        <v>2</v>
      </c>
      <c r="G54" s="11" t="n">
        <v>0</v>
      </c>
      <c r="H54" s="11" t="n">
        <v>0</v>
      </c>
      <c r="I54" s="11" t="n">
        <v>1</v>
      </c>
      <c r="J54" s="11" t="n">
        <v>0</v>
      </c>
      <c r="K54" s="9" t="n">
        <v>4</v>
      </c>
      <c r="L54" s="67" t="n"/>
    </row>
    <row r="55" ht="26.4" customHeight="1" s="70">
      <c r="A55" s="14" t="inlineStr">
        <is>
          <t>북서지부 소계</t>
        </is>
      </c>
      <c r="B55" s="45" t="n"/>
      <c r="C55" s="45" t="n"/>
      <c r="D55" s="45" t="n"/>
      <c r="E55" s="14" t="n">
        <v>11</v>
      </c>
      <c r="F55" s="14" t="n">
        <v>17</v>
      </c>
      <c r="G55" s="14" t="n">
        <v>2</v>
      </c>
      <c r="H55" s="14" t="n">
        <v>1</v>
      </c>
      <c r="I55" s="14" t="n">
        <v>6</v>
      </c>
      <c r="J55" s="14" t="n">
        <v>0</v>
      </c>
      <c r="K55" s="14" t="n">
        <v>37</v>
      </c>
      <c r="L55" s="45" t="n"/>
    </row>
    <row r="56" ht="31.2" customHeight="1" s="70">
      <c r="A56" s="43" t="inlineStr">
        <is>
          <t>소계퍼센테이지</t>
        </is>
      </c>
      <c r="B56" s="67" t="n"/>
      <c r="C56" s="67" t="n"/>
      <c r="D56" s="67" t="n"/>
      <c r="E56" s="78" t="n">
        <v>0.2972972972972973</v>
      </c>
      <c r="F56" s="78" t="n">
        <v>0.4594594594594595</v>
      </c>
      <c r="G56" s="78" t="n">
        <v>0.05405405405405406</v>
      </c>
      <c r="H56" s="78" t="n">
        <v>0.02702702702702703</v>
      </c>
      <c r="I56" s="78" t="n">
        <v>0.1621621621621622</v>
      </c>
      <c r="J56" s="78" t="n">
        <v>0</v>
      </c>
      <c r="K56" s="46" t="n">
        <v>1</v>
      </c>
      <c r="L56" s="67" t="n"/>
    </row>
    <row r="57">
      <c r="A57" s="11" t="inlineStr">
        <is>
          <t>용인</t>
        </is>
      </c>
      <c r="B57" s="11" t="inlineStr">
        <is>
          <t>양지 대우 원클러스터</t>
        </is>
      </c>
      <c r="C57" s="11" t="inlineStr">
        <is>
          <t>(주)규람타워렌탈</t>
        </is>
      </c>
      <c r="D57" s="11" t="n"/>
      <c r="E57" s="11" t="n">
        <v>1</v>
      </c>
      <c r="F57" s="11" t="n">
        <v>2</v>
      </c>
      <c r="G57" s="11" t="n">
        <v>0</v>
      </c>
      <c r="H57" s="11" t="n">
        <v>0</v>
      </c>
      <c r="I57" s="11" t="n">
        <v>1</v>
      </c>
      <c r="J57" s="11" t="n">
        <v>0</v>
      </c>
      <c r="K57" s="9" t="n">
        <v>4</v>
      </c>
      <c r="L57" s="13" t="n"/>
    </row>
    <row r="58">
      <c r="A58" s="11" t="inlineStr">
        <is>
          <t>용인</t>
        </is>
      </c>
      <c r="B58" s="11" t="inlineStr">
        <is>
          <t>양지 SM경남 아너스빌</t>
        </is>
      </c>
      <c r="C58" s="11" t="inlineStr">
        <is>
          <t>주식회사 비엠케이</t>
        </is>
      </c>
      <c r="D58" s="11" t="n"/>
      <c r="E58" s="11" t="n">
        <v>2</v>
      </c>
      <c r="F58" s="11" t="n">
        <v>1</v>
      </c>
      <c r="G58" s="11" t="n">
        <v>0</v>
      </c>
      <c r="H58" s="11" t="n">
        <v>1</v>
      </c>
      <c r="I58" s="11" t="n">
        <v>0</v>
      </c>
      <c r="J58" s="11" t="n">
        <v>0</v>
      </c>
      <c r="K58" s="9" t="n">
        <v>4</v>
      </c>
      <c r="L58" s="13" t="n"/>
    </row>
    <row r="59" ht="26.4" customHeight="1" s="70">
      <c r="A59" s="11" t="inlineStr">
        <is>
          <t>용인</t>
        </is>
      </c>
      <c r="B59" s="11" t="inlineStr">
        <is>
          <t>역북 푸르지오 클루센트(대우건설)</t>
        </is>
      </c>
      <c r="C59" s="11" t="inlineStr">
        <is>
          <t>벽산중기산업주식회사</t>
        </is>
      </c>
      <c r="D59" s="11" t="n"/>
      <c r="E59" s="11" t="n">
        <v>1</v>
      </c>
      <c r="F59" s="11" t="n">
        <v>2</v>
      </c>
      <c r="G59" s="11" t="n">
        <v>0</v>
      </c>
      <c r="H59" s="11" t="n">
        <v>0</v>
      </c>
      <c r="I59" s="11" t="n">
        <v>1</v>
      </c>
      <c r="J59" s="11" t="n">
        <v>0</v>
      </c>
      <c r="K59" s="9" t="n">
        <v>4</v>
      </c>
      <c r="L59" s="13" t="n"/>
    </row>
    <row r="60" ht="26.4" customHeight="1" s="70">
      <c r="A60" s="15" t="inlineStr">
        <is>
          <t>용인</t>
        </is>
      </c>
      <c r="B60" s="15" t="inlineStr">
        <is>
          <t>고림 대광로제비앙</t>
        </is>
      </c>
      <c r="C60" s="15" t="inlineStr">
        <is>
          <t>주식회사 현성건설</t>
        </is>
      </c>
      <c r="D60" s="49" t="inlineStr">
        <is>
          <t>현성</t>
        </is>
      </c>
      <c r="E60" s="13" t="n">
        <v>0</v>
      </c>
      <c r="F60" s="13" t="n">
        <v>3</v>
      </c>
      <c r="G60" s="13" t="n">
        <v>0</v>
      </c>
      <c r="H60" s="13" t="n">
        <v>1</v>
      </c>
      <c r="I60" s="13" t="n">
        <v>1</v>
      </c>
      <c r="J60" s="13" t="n">
        <v>0</v>
      </c>
      <c r="K60" s="9" t="n">
        <v>0</v>
      </c>
      <c r="L60" s="15" t="inlineStr">
        <is>
          <t>통계제외</t>
        </is>
      </c>
    </row>
    <row r="61">
      <c r="A61" s="11" t="inlineStr">
        <is>
          <t>용인</t>
        </is>
      </c>
      <c r="B61" s="11" t="inlineStr">
        <is>
          <t>백암 오뚜기물류센타</t>
        </is>
      </c>
      <c r="C61" s="11" t="inlineStr">
        <is>
          <t>주식회사 가람타워</t>
        </is>
      </c>
      <c r="D61" s="49" t="n"/>
      <c r="E61" s="11" t="n">
        <v>0</v>
      </c>
      <c r="F61" s="11" t="n">
        <v>1</v>
      </c>
      <c r="G61" s="11" t="n">
        <v>0</v>
      </c>
      <c r="H61" s="11" t="n">
        <v>1</v>
      </c>
      <c r="I61" s="11" t="n">
        <v>0</v>
      </c>
      <c r="J61" s="11" t="n">
        <v>0</v>
      </c>
      <c r="K61" s="9" t="n">
        <v>2</v>
      </c>
      <c r="L61" s="13" t="n"/>
    </row>
    <row r="62">
      <c r="A62" s="11" t="inlineStr">
        <is>
          <t>용인</t>
        </is>
      </c>
      <c r="B62" s="11" t="inlineStr">
        <is>
          <t>마평동 여성복지회관</t>
        </is>
      </c>
      <c r="C62" s="11" t="inlineStr">
        <is>
          <t>(주)무기타워렌탈</t>
        </is>
      </c>
      <c r="D62" s="11" t="n"/>
      <c r="E62" s="11" t="n">
        <v>0</v>
      </c>
      <c r="F62" s="11" t="n">
        <v>1</v>
      </c>
      <c r="G62" s="11" t="n">
        <v>0</v>
      </c>
      <c r="H62" s="11" t="n">
        <v>0</v>
      </c>
      <c r="I62" s="11" t="n">
        <v>0</v>
      </c>
      <c r="J62" s="11" t="n">
        <v>0</v>
      </c>
      <c r="K62" s="9" t="n">
        <v>1</v>
      </c>
      <c r="L62" s="13" t="n"/>
    </row>
    <row r="63">
      <c r="A63" s="11" t="inlineStr">
        <is>
          <t>용인</t>
        </is>
      </c>
      <c r="B63" s="11" t="inlineStr">
        <is>
          <t>용인 라온프라이빗</t>
        </is>
      </c>
      <c r="C63" s="11" t="inlineStr">
        <is>
          <t>(주)우성건설기계</t>
        </is>
      </c>
      <c r="D63" s="11" t="n"/>
      <c r="E63" s="11" t="n">
        <v>2</v>
      </c>
      <c r="F63" s="11" t="n">
        <v>1</v>
      </c>
      <c r="G63" s="11" t="n">
        <v>0</v>
      </c>
      <c r="H63" s="11" t="n">
        <v>0</v>
      </c>
      <c r="I63" s="11" t="n">
        <v>0</v>
      </c>
      <c r="J63" s="11" t="n">
        <v>0</v>
      </c>
      <c r="K63" s="9" t="n">
        <v>3</v>
      </c>
      <c r="L63" s="67" t="n"/>
    </row>
    <row r="64">
      <c r="A64" s="11" t="inlineStr">
        <is>
          <t>용인</t>
        </is>
      </c>
      <c r="B64" s="11" t="inlineStr">
        <is>
          <t>용인덕성 AI데이터센터 신축공사</t>
        </is>
      </c>
      <c r="C64" s="11" t="inlineStr">
        <is>
          <t>(주)타워랜드</t>
        </is>
      </c>
      <c r="D64" s="11" t="n"/>
      <c r="E64" s="11" t="n">
        <v>1</v>
      </c>
      <c r="F64" s="11" t="n">
        <v>2</v>
      </c>
      <c r="G64" s="11" t="n">
        <v>1</v>
      </c>
      <c r="H64" s="11" t="n">
        <v>0</v>
      </c>
      <c r="I64" s="11" t="n">
        <v>0</v>
      </c>
      <c r="J64" s="11" t="n">
        <v>0</v>
      </c>
      <c r="K64" s="9" t="n">
        <v>4</v>
      </c>
      <c r="L64" s="67" t="n"/>
    </row>
    <row r="65" ht="26.4" customHeight="1" s="70">
      <c r="A65" s="11" t="inlineStr">
        <is>
          <t>용인</t>
        </is>
      </c>
      <c r="B65" s="11" t="inlineStr">
        <is>
          <t>용인클러스터 상생협력시설(기숙사 1차)</t>
        </is>
      </c>
      <c r="C65" s="11" t="inlineStr">
        <is>
          <t>(주)규람타워렌탈</t>
        </is>
      </c>
      <c r="D65" s="11" t="inlineStr">
        <is>
          <t>원철규(미정3)</t>
        </is>
      </c>
      <c r="E65" s="11" t="n">
        <v>1</v>
      </c>
      <c r="F65" s="11" t="n">
        <v>0</v>
      </c>
      <c r="G65" s="11" t="n">
        <v>0</v>
      </c>
      <c r="H65" s="11" t="n">
        <v>0</v>
      </c>
      <c r="I65" s="11" t="n">
        <v>1</v>
      </c>
      <c r="J65" s="11" t="n">
        <v>3</v>
      </c>
      <c r="K65" s="9" t="n">
        <v>5</v>
      </c>
      <c r="L65" s="67" t="n"/>
    </row>
    <row r="66">
      <c r="A66" s="67" t="inlineStr">
        <is>
          <t>용인</t>
        </is>
      </c>
      <c r="B66" s="67" t="inlineStr">
        <is>
          <t>수지자이에디시온</t>
        </is>
      </c>
      <c r="C66" s="67" t="inlineStr">
        <is>
          <t>(주)한진</t>
        </is>
      </c>
      <c r="D66" s="67" t="n"/>
      <c r="E66" s="67" t="n">
        <v>1</v>
      </c>
      <c r="F66" s="67" t="n">
        <v>1</v>
      </c>
      <c r="G66" s="67" t="n">
        <v>0</v>
      </c>
      <c r="H66" s="67" t="n">
        <v>0</v>
      </c>
      <c r="I66" s="67" t="n">
        <v>1</v>
      </c>
      <c r="J66" s="67" t="n">
        <v>0</v>
      </c>
      <c r="K66" s="67" t="n">
        <v>3</v>
      </c>
      <c r="L66" s="67" t="n"/>
    </row>
    <row r="67" ht="26.4" customHeight="1" s="70">
      <c r="A67" s="14" t="inlineStr">
        <is>
          <t>용인지부 소계</t>
        </is>
      </c>
      <c r="B67" s="45" t="n"/>
      <c r="C67" s="45" t="n"/>
      <c r="D67" s="45" t="n"/>
      <c r="E67" s="14" t="n">
        <v>9</v>
      </c>
      <c r="F67" s="14" t="n">
        <v>11</v>
      </c>
      <c r="G67" s="14" t="n">
        <v>1</v>
      </c>
      <c r="H67" s="14" t="n">
        <v>2</v>
      </c>
      <c r="I67" s="14" t="n">
        <v>4</v>
      </c>
      <c r="J67" s="14" t="n">
        <v>3</v>
      </c>
      <c r="K67" s="14" t="n">
        <v>30</v>
      </c>
      <c r="L67" s="45" t="n"/>
    </row>
    <row r="68" ht="31.2" customHeight="1" s="70">
      <c r="A68" s="43" t="inlineStr">
        <is>
          <t>소계퍼센테이지</t>
        </is>
      </c>
      <c r="B68" s="67" t="n"/>
      <c r="C68" s="67" t="n"/>
      <c r="D68" s="67" t="n"/>
      <c r="E68" s="78" t="n">
        <v>0.3</v>
      </c>
      <c r="F68" s="78" t="n">
        <v>0.3667</v>
      </c>
      <c r="G68" s="78" t="n">
        <v>0.033</v>
      </c>
      <c r="H68" s="78" t="n">
        <v>0.0667</v>
      </c>
      <c r="I68" s="78" t="n">
        <v>0.1333</v>
      </c>
      <c r="J68" s="78" t="n">
        <v>0.1</v>
      </c>
      <c r="K68" s="46" t="n">
        <v>1</v>
      </c>
      <c r="L68" s="67" t="n"/>
    </row>
    <row r="69">
      <c r="A69" s="11" t="inlineStr">
        <is>
          <t>중부</t>
        </is>
      </c>
      <c r="B69" s="11" t="inlineStr">
        <is>
          <t>당수동 한신</t>
        </is>
      </c>
      <c r="C69" s="11" t="inlineStr">
        <is>
          <t>주식회사월드타워</t>
        </is>
      </c>
      <c r="D69" s="11" t="n"/>
      <c r="E69" s="11" t="n">
        <v>1</v>
      </c>
      <c r="F69" s="11" t="n">
        <v>2</v>
      </c>
      <c r="G69" s="11" t="n">
        <v>0</v>
      </c>
      <c r="H69" s="11" t="n">
        <v>0</v>
      </c>
      <c r="I69" s="11" t="n">
        <v>2</v>
      </c>
      <c r="J69" s="11" t="n">
        <v>0</v>
      </c>
      <c r="K69" s="9" t="n">
        <v>5</v>
      </c>
      <c r="L69" s="13" t="n"/>
    </row>
    <row r="70" ht="26.4" customHeight="1" s="70">
      <c r="A70" s="11" t="inlineStr">
        <is>
          <t>중부</t>
        </is>
      </c>
      <c r="B70" s="11" t="inlineStr">
        <is>
          <t>당수동 한라</t>
        </is>
      </c>
      <c r="C70" s="11" t="inlineStr">
        <is>
          <t>벽산중기산업주식회사</t>
        </is>
      </c>
      <c r="D70" s="11" t="n"/>
      <c r="E70" s="11" t="n">
        <v>1</v>
      </c>
      <c r="F70" s="11" t="n">
        <v>2</v>
      </c>
      <c r="G70" s="11" t="n">
        <v>1</v>
      </c>
      <c r="H70" s="11" t="n">
        <v>0</v>
      </c>
      <c r="I70" s="11" t="n">
        <v>0</v>
      </c>
      <c r="J70" s="11" t="n">
        <v>0</v>
      </c>
      <c r="K70" s="9" t="n">
        <v>4</v>
      </c>
      <c r="L70" s="13" t="n"/>
    </row>
    <row r="71">
      <c r="A71" s="11" t="inlineStr">
        <is>
          <t>중부</t>
        </is>
      </c>
      <c r="B71" s="11" t="inlineStr">
        <is>
          <t>당수동 계룡</t>
        </is>
      </c>
      <c r="C71" s="11" t="inlineStr">
        <is>
          <t>주식회사 화성건기</t>
        </is>
      </c>
      <c r="D71" s="11" t="n"/>
      <c r="E71" s="11" t="n">
        <v>1</v>
      </c>
      <c r="F71" s="11" t="n">
        <v>1</v>
      </c>
      <c r="G71" s="11" t="n">
        <v>0</v>
      </c>
      <c r="H71" s="11" t="n">
        <v>0</v>
      </c>
      <c r="I71" s="11" t="n">
        <v>2</v>
      </c>
      <c r="J71" s="11" t="n">
        <v>0</v>
      </c>
      <c r="K71" s="9" t="n">
        <v>4</v>
      </c>
      <c r="L71" s="13" t="n"/>
    </row>
    <row r="72">
      <c r="A72" s="11" t="inlineStr">
        <is>
          <t>중부</t>
        </is>
      </c>
      <c r="B72" s="11" t="inlineStr">
        <is>
          <t>영화동 두산</t>
        </is>
      </c>
      <c r="C72" s="11" t="inlineStr">
        <is>
          <t>(주)야후건기</t>
        </is>
      </c>
      <c r="D72" s="11" t="n"/>
      <c r="E72" s="11" t="n">
        <v>1</v>
      </c>
      <c r="F72" s="11" t="n">
        <v>1</v>
      </c>
      <c r="G72" s="11" t="n">
        <v>0</v>
      </c>
      <c r="H72" s="11" t="n">
        <v>0</v>
      </c>
      <c r="I72" s="11" t="n">
        <v>1</v>
      </c>
      <c r="J72" s="11" t="n">
        <v>0</v>
      </c>
      <c r="K72" s="9" t="n">
        <v>3</v>
      </c>
      <c r="L72" s="13" t="n"/>
    </row>
    <row r="73">
      <c r="A73" s="11" t="inlineStr">
        <is>
          <t>중부</t>
        </is>
      </c>
      <c r="B73" s="11" t="inlineStr">
        <is>
          <t>수원 친환경 에너지 개선공사 주기기 구매</t>
        </is>
      </c>
      <c r="C73" s="11" t="inlineStr">
        <is>
          <t>신우개발(주)</t>
        </is>
      </c>
      <c r="D73" s="11" t="n"/>
      <c r="E73" s="11" t="n">
        <v>1</v>
      </c>
      <c r="F73" s="11" t="n">
        <v>0</v>
      </c>
      <c r="G73" s="11" t="n">
        <v>0</v>
      </c>
      <c r="H73" s="11" t="n">
        <v>0</v>
      </c>
      <c r="I73" s="11" t="n">
        <v>0</v>
      </c>
      <c r="J73" s="11" t="n">
        <v>0</v>
      </c>
      <c r="K73" s="9" t="n">
        <v>1</v>
      </c>
      <c r="L73" s="13" t="n"/>
    </row>
    <row r="74" ht="26.4" customHeight="1" s="70">
      <c r="A74" s="14" t="inlineStr">
        <is>
          <t>중부지부 소계</t>
        </is>
      </c>
      <c r="B74" s="45" t="n"/>
      <c r="C74" s="45" t="n"/>
      <c r="D74" s="45" t="n"/>
      <c r="E74" s="14" t="n">
        <v>5</v>
      </c>
      <c r="F74" s="14" t="n">
        <v>6</v>
      </c>
      <c r="G74" s="14" t="n">
        <v>1</v>
      </c>
      <c r="H74" s="14" t="n">
        <v>0</v>
      </c>
      <c r="I74" s="14" t="n">
        <v>5</v>
      </c>
      <c r="J74" s="14" t="n">
        <v>0</v>
      </c>
      <c r="K74" s="14">
        <f>SUM(K69:K73)</f>
        <v/>
      </c>
      <c r="L74" s="45" t="n"/>
    </row>
    <row r="75" ht="31.2" customHeight="1" s="70">
      <c r="A75" s="43" t="inlineStr">
        <is>
          <t>소계퍼센테이지</t>
        </is>
      </c>
      <c r="B75" s="67" t="n"/>
      <c r="C75" s="67" t="n"/>
      <c r="D75" s="67" t="n"/>
      <c r="E75" s="78" t="n">
        <v>0.2941176470588235</v>
      </c>
      <c r="F75" s="78" t="n">
        <v>0.3529411764705883</v>
      </c>
      <c r="G75" s="78" t="n">
        <v>0.05882352941176471</v>
      </c>
      <c r="H75" s="78" t="n">
        <v>0</v>
      </c>
      <c r="I75" s="78" t="n">
        <v>0.2941176470588235</v>
      </c>
      <c r="J75" s="78" t="n">
        <v>0</v>
      </c>
      <c r="K75" s="51" t="n">
        <v>1</v>
      </c>
      <c r="L75" s="67" t="n"/>
    </row>
  </sheetData>
  <autoFilter ref="A2:L75"/>
  <mergeCells count="1"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K44" sqref="K44"/>
    </sheetView>
  </sheetViews>
  <sheetFormatPr baseColWidth="8" defaultRowHeight="17.4"/>
  <cols>
    <col width="15" bestFit="1" customWidth="1" style="70" min="1" max="1"/>
    <col width="6.5" bestFit="1" customWidth="1" style="70" min="2" max="2"/>
    <col width="4.796875" bestFit="1" customWidth="1" style="70" min="3" max="9"/>
    <col width="8.19921875" bestFit="1" customWidth="1" style="70" min="10" max="10"/>
  </cols>
  <sheetData>
    <row r="1">
      <c r="A1" s="68" t="inlineStr">
        <is>
          <t>3.타워(렌탈)사별 점유 현황 (통계제외 제외)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</row>
    <row r="2" ht="26.4" customHeight="1" s="70">
      <c r="A2" s="1" t="inlineStr">
        <is>
          <t>타워사</t>
        </is>
      </c>
      <c r="B2" s="1" t="inlineStr">
        <is>
          <t>현장수</t>
        </is>
      </c>
      <c r="C2" s="2" t="inlineStr">
        <is>
          <t>한노</t>
        </is>
      </c>
      <c r="D2" s="3" t="inlineStr">
        <is>
          <t>민노</t>
        </is>
      </c>
      <c r="E2" s="4" t="inlineStr">
        <is>
          <t>섬유</t>
        </is>
      </c>
      <c r="F2" s="5" t="inlineStr">
        <is>
          <t>건산</t>
        </is>
      </c>
      <c r="G2" s="6" t="inlineStr">
        <is>
          <t>직원</t>
        </is>
      </c>
      <c r="H2" s="7" t="inlineStr">
        <is>
          <t>기타</t>
        </is>
      </c>
      <c r="I2" s="1" t="inlineStr">
        <is>
          <t>합계</t>
        </is>
      </c>
      <c r="J2" s="80" t="inlineStr">
        <is>
          <t>한노점유율</t>
        </is>
      </c>
    </row>
    <row r="3">
      <c r="A3" s="12" t="inlineStr">
        <is>
          <t>주식회사 비엠케이</t>
        </is>
      </c>
      <c r="B3" s="11" t="n">
        <v>3</v>
      </c>
      <c r="C3" s="11" t="n">
        <v>4</v>
      </c>
      <c r="D3" s="11" t="n">
        <v>5</v>
      </c>
      <c r="E3" s="11" t="n">
        <v>1</v>
      </c>
      <c r="F3" s="11" t="n">
        <v>2</v>
      </c>
      <c r="G3" s="11" t="n">
        <v>2</v>
      </c>
      <c r="H3" s="11" t="n">
        <v>0</v>
      </c>
      <c r="I3" s="9" t="n">
        <v>14</v>
      </c>
      <c r="J3" s="81" t="n">
        <v>0.285714285714286</v>
      </c>
    </row>
    <row r="4" ht="26.4" customHeight="1" s="70">
      <c r="A4" s="12" t="inlineStr">
        <is>
          <t>벽산중기산업주식회사</t>
        </is>
      </c>
      <c r="B4" s="11" t="n">
        <v>3</v>
      </c>
      <c r="C4" s="11" t="n">
        <v>3</v>
      </c>
      <c r="D4" s="11" t="n">
        <v>5</v>
      </c>
      <c r="E4" s="11" t="n">
        <v>1</v>
      </c>
      <c r="F4" s="11" t="n">
        <v>0</v>
      </c>
      <c r="G4" s="11" t="n">
        <v>1</v>
      </c>
      <c r="H4" s="11" t="n">
        <v>0</v>
      </c>
      <c r="I4" s="9" t="n">
        <v>10</v>
      </c>
      <c r="J4" s="81" t="n">
        <v>0.333</v>
      </c>
    </row>
    <row r="5">
      <c r="A5" s="12" t="inlineStr">
        <is>
          <t>주식회사 우정타워</t>
        </is>
      </c>
      <c r="B5" s="11" t="n">
        <v>3</v>
      </c>
      <c r="C5" s="11" t="n">
        <v>2</v>
      </c>
      <c r="D5" s="11" t="n">
        <v>5</v>
      </c>
      <c r="E5" s="11" t="n">
        <v>0</v>
      </c>
      <c r="F5" s="11" t="n">
        <v>1</v>
      </c>
      <c r="G5" s="11" t="n">
        <v>3</v>
      </c>
      <c r="H5" s="11" t="n">
        <v>0</v>
      </c>
      <c r="I5" s="9" t="n">
        <v>11</v>
      </c>
      <c r="J5" s="81" t="n">
        <v>0.1818181818181818</v>
      </c>
    </row>
    <row r="6">
      <c r="A6" s="12" t="inlineStr">
        <is>
          <t>(주)국영타워랜드</t>
        </is>
      </c>
      <c r="B6" s="11" t="n">
        <v>2</v>
      </c>
      <c r="C6" s="11" t="n">
        <v>3</v>
      </c>
      <c r="D6" s="11" t="n">
        <v>5</v>
      </c>
      <c r="E6" s="11" t="n">
        <v>1</v>
      </c>
      <c r="F6" s="11" t="n">
        <v>1</v>
      </c>
      <c r="G6" s="11" t="n">
        <v>1</v>
      </c>
      <c r="H6" s="11" t="n">
        <v>0</v>
      </c>
      <c r="I6" s="9" t="n">
        <v>11</v>
      </c>
      <c r="J6" s="81" t="n">
        <v>0.272727272727273</v>
      </c>
    </row>
    <row r="7">
      <c r="A7" s="12" t="inlineStr">
        <is>
          <t>오투기계산업(주)</t>
        </is>
      </c>
      <c r="B7" s="11" t="n">
        <v>2</v>
      </c>
      <c r="C7" s="11" t="n">
        <v>3</v>
      </c>
      <c r="D7" s="11" t="n">
        <v>6</v>
      </c>
      <c r="E7" s="11" t="n">
        <v>0</v>
      </c>
      <c r="F7" s="11" t="n">
        <v>0</v>
      </c>
      <c r="G7" s="11" t="n">
        <v>3</v>
      </c>
      <c r="H7" s="11" t="n">
        <v>0</v>
      </c>
      <c r="I7" s="9" t="n">
        <v>12</v>
      </c>
      <c r="J7" s="81" t="n">
        <v>0.25</v>
      </c>
    </row>
    <row r="8">
      <c r="A8" s="12" t="inlineStr">
        <is>
          <t>(주)한백산업</t>
        </is>
      </c>
      <c r="B8" s="11" t="n">
        <v>2</v>
      </c>
      <c r="C8" s="11" t="n">
        <v>4</v>
      </c>
      <c r="D8" s="11" t="n">
        <v>6</v>
      </c>
      <c r="E8" s="11" t="n">
        <v>1</v>
      </c>
      <c r="F8" s="11" t="n">
        <v>0</v>
      </c>
      <c r="G8" s="11" t="n">
        <v>2</v>
      </c>
      <c r="H8" s="11" t="n">
        <v>0</v>
      </c>
      <c r="I8" s="9" t="n">
        <v>13</v>
      </c>
      <c r="J8" s="81" t="n">
        <v>0.307</v>
      </c>
    </row>
    <row r="9">
      <c r="A9" s="12" t="inlineStr">
        <is>
          <t>(주)예림타워</t>
        </is>
      </c>
      <c r="B9" s="11" t="n">
        <v>1</v>
      </c>
      <c r="C9" s="11" t="n">
        <v>2</v>
      </c>
      <c r="D9" s="11" t="n">
        <v>3</v>
      </c>
      <c r="E9" s="11" t="n">
        <v>1</v>
      </c>
      <c r="F9" s="11" t="n">
        <v>0</v>
      </c>
      <c r="G9" s="11" t="n">
        <v>1</v>
      </c>
      <c r="H9" s="11" t="n">
        <v>0</v>
      </c>
      <c r="I9" s="9" t="n">
        <v>7</v>
      </c>
      <c r="J9" s="81" t="n">
        <v>0.285714285714286</v>
      </c>
    </row>
    <row r="10">
      <c r="A10" s="12" t="inlineStr">
        <is>
          <t>주식회사 한산타워</t>
        </is>
      </c>
      <c r="B10" s="11" t="n">
        <v>2</v>
      </c>
      <c r="C10" s="11" t="n">
        <v>2</v>
      </c>
      <c r="D10" s="11" t="n">
        <v>3</v>
      </c>
      <c r="E10" s="11" t="n">
        <v>0</v>
      </c>
      <c r="F10" s="11" t="n">
        <v>0</v>
      </c>
      <c r="G10" s="11" t="n">
        <v>1</v>
      </c>
      <c r="H10" s="11" t="n">
        <v>0</v>
      </c>
      <c r="I10" s="9" t="n">
        <v>6</v>
      </c>
      <c r="J10" s="81" t="n">
        <v>0.333333333333333</v>
      </c>
    </row>
    <row r="11">
      <c r="A11" s="12" t="inlineStr">
        <is>
          <t>(주)우성건설기계</t>
        </is>
      </c>
      <c r="B11" s="11" t="n">
        <v>2</v>
      </c>
      <c r="C11" s="11" t="n">
        <v>4</v>
      </c>
      <c r="D11" s="11" t="n">
        <v>4</v>
      </c>
      <c r="E11" s="11" t="n">
        <v>0</v>
      </c>
      <c r="F11" s="11" t="n">
        <v>0</v>
      </c>
      <c r="G11" s="11" t="n">
        <v>1</v>
      </c>
      <c r="H11" s="11" t="n">
        <v>0</v>
      </c>
      <c r="I11" s="9" t="n">
        <v>9</v>
      </c>
      <c r="J11" s="81" t="n">
        <v>0.4444444444444444</v>
      </c>
    </row>
    <row r="12">
      <c r="A12" s="12" t="inlineStr">
        <is>
          <t>주식회사월드타워</t>
        </is>
      </c>
      <c r="B12" s="11" t="n">
        <v>1</v>
      </c>
      <c r="C12" s="11" t="n">
        <v>1</v>
      </c>
      <c r="D12" s="11" t="n">
        <v>2</v>
      </c>
      <c r="E12" s="11" t="n">
        <v>0</v>
      </c>
      <c r="F12" s="11" t="n">
        <v>0</v>
      </c>
      <c r="G12" s="11" t="n">
        <v>2</v>
      </c>
      <c r="H12" s="11" t="n">
        <v>0</v>
      </c>
      <c r="I12" s="9" t="n">
        <v>5</v>
      </c>
      <c r="J12" s="81" t="n">
        <v>0.2</v>
      </c>
    </row>
    <row r="13" ht="26.4" customHeight="1" s="70">
      <c r="A13" s="12" t="inlineStr">
        <is>
          <t>(주)동양타워엔지니어링</t>
        </is>
      </c>
      <c r="B13" s="11" t="n">
        <v>2</v>
      </c>
      <c r="C13" s="11" t="n">
        <v>3</v>
      </c>
      <c r="D13" s="11" t="n">
        <v>5</v>
      </c>
      <c r="E13" s="11" t="n">
        <v>0</v>
      </c>
      <c r="F13" s="11" t="n">
        <v>1</v>
      </c>
      <c r="G13" s="11" t="n">
        <v>1</v>
      </c>
      <c r="H13" s="11" t="n">
        <v>1</v>
      </c>
      <c r="I13" s="9" t="n">
        <v>11</v>
      </c>
      <c r="J13" s="81" t="n">
        <v>0.2727272727272727</v>
      </c>
    </row>
    <row r="14">
      <c r="A14" s="12" t="inlineStr">
        <is>
          <t>(주)규람타워렌탈</t>
        </is>
      </c>
      <c r="B14" s="11" t="n">
        <v>3</v>
      </c>
      <c r="C14" s="11" t="n">
        <v>3</v>
      </c>
      <c r="D14" s="11" t="n">
        <v>3</v>
      </c>
      <c r="E14" s="11" t="n">
        <v>0</v>
      </c>
      <c r="F14" s="11" t="n">
        <v>0</v>
      </c>
      <c r="G14" s="11" t="n">
        <v>2</v>
      </c>
      <c r="H14" s="11" t="n">
        <v>5</v>
      </c>
      <c r="I14" s="9" t="n">
        <v>13</v>
      </c>
      <c r="J14" s="81" t="n">
        <v>0.2307692307692308</v>
      </c>
    </row>
    <row r="15">
      <c r="A15" s="12" t="inlineStr">
        <is>
          <t>주식회사 화성건기</t>
        </is>
      </c>
      <c r="B15" s="11" t="n">
        <v>1</v>
      </c>
      <c r="C15" s="11" t="n">
        <v>1</v>
      </c>
      <c r="D15" s="11" t="n">
        <v>1</v>
      </c>
      <c r="E15" s="11" t="n">
        <v>0</v>
      </c>
      <c r="F15" s="11" t="n">
        <v>0</v>
      </c>
      <c r="G15" s="11" t="n">
        <v>2</v>
      </c>
      <c r="H15" s="11" t="n">
        <v>0</v>
      </c>
      <c r="I15" s="9" t="n">
        <v>4</v>
      </c>
      <c r="J15" s="81" t="n">
        <v>0.25</v>
      </c>
    </row>
    <row r="16">
      <c r="A16" s="12" t="inlineStr">
        <is>
          <t>(주)썬타워</t>
        </is>
      </c>
      <c r="B16" s="11" t="n">
        <v>1</v>
      </c>
      <c r="C16" s="11" t="n">
        <v>1</v>
      </c>
      <c r="D16" s="11" t="n">
        <v>2</v>
      </c>
      <c r="E16" s="11" t="n">
        <v>0</v>
      </c>
      <c r="F16" s="11" t="n">
        <v>1</v>
      </c>
      <c r="G16" s="11" t="n">
        <v>0</v>
      </c>
      <c r="H16" s="11" t="n">
        <v>0</v>
      </c>
      <c r="I16" s="9" t="n">
        <v>4</v>
      </c>
      <c r="J16" s="81" t="n">
        <v>0.25</v>
      </c>
    </row>
    <row r="17">
      <c r="A17" s="12" t="inlineStr">
        <is>
          <t>(주)오성산업</t>
        </is>
      </c>
      <c r="B17" s="11" t="n">
        <v>1</v>
      </c>
      <c r="C17" s="11" t="n">
        <v>1</v>
      </c>
      <c r="D17" s="11" t="n">
        <v>2</v>
      </c>
      <c r="E17" s="11" t="n">
        <v>0</v>
      </c>
      <c r="F17" s="11" t="n">
        <v>0</v>
      </c>
      <c r="G17" s="11" t="n">
        <v>1</v>
      </c>
      <c r="H17" s="11" t="n">
        <v>0</v>
      </c>
      <c r="I17" s="9" t="n">
        <v>4</v>
      </c>
      <c r="J17" s="81" t="n">
        <v>0.25</v>
      </c>
    </row>
    <row r="18">
      <c r="A18" s="12" t="inlineStr">
        <is>
          <t>(주)신화중공업</t>
        </is>
      </c>
      <c r="B18" s="11" t="n">
        <v>1</v>
      </c>
      <c r="C18" s="11" t="n">
        <v>1</v>
      </c>
      <c r="D18" s="11" t="n">
        <v>1</v>
      </c>
      <c r="E18" s="11" t="n">
        <v>0</v>
      </c>
      <c r="F18" s="11" t="n">
        <v>0</v>
      </c>
      <c r="G18" s="11" t="n">
        <v>2</v>
      </c>
      <c r="H18" s="11" t="n">
        <v>0</v>
      </c>
      <c r="I18" s="9" t="n">
        <v>4</v>
      </c>
      <c r="J18" s="81" t="n">
        <v>0.25</v>
      </c>
    </row>
    <row r="19">
      <c r="A19" s="12" t="inlineStr">
        <is>
          <t>탑랜드</t>
        </is>
      </c>
      <c r="B19" s="11" t="n">
        <v>1</v>
      </c>
      <c r="C19" s="11" t="n">
        <v>1</v>
      </c>
      <c r="D19" s="11" t="n">
        <v>2</v>
      </c>
      <c r="E19" s="11" t="n">
        <v>0</v>
      </c>
      <c r="F19" s="11" t="n">
        <v>0</v>
      </c>
      <c r="G19" s="11" t="n">
        <v>1</v>
      </c>
      <c r="H19" s="11" t="n">
        <v>0</v>
      </c>
      <c r="I19" s="9" t="n">
        <v>4</v>
      </c>
      <c r="J19" s="81" t="n">
        <v>0.25</v>
      </c>
    </row>
    <row r="20">
      <c r="A20" s="12" t="inlineStr">
        <is>
          <t>(주)대원타워렌탈</t>
        </is>
      </c>
      <c r="B20" s="11" t="n">
        <v>2</v>
      </c>
      <c r="C20" s="11" t="n">
        <v>2</v>
      </c>
      <c r="D20" s="11" t="n">
        <v>2</v>
      </c>
      <c r="E20" s="11" t="n">
        <v>0</v>
      </c>
      <c r="F20" s="11" t="n">
        <v>0</v>
      </c>
      <c r="G20" s="11" t="n">
        <v>2</v>
      </c>
      <c r="H20" s="11" t="n">
        <v>0</v>
      </c>
      <c r="I20" s="9" t="n">
        <v>6</v>
      </c>
      <c r="J20" s="81" t="n">
        <v>0.3333333333333333</v>
      </c>
    </row>
    <row r="21">
      <c r="A21" s="12" t="inlineStr">
        <is>
          <t>주식회사 가람타워</t>
        </is>
      </c>
      <c r="B21" s="11" t="n">
        <v>2</v>
      </c>
      <c r="C21" s="11" t="n">
        <v>1</v>
      </c>
      <c r="D21" s="11" t="n">
        <v>1</v>
      </c>
      <c r="E21" s="11" t="n">
        <v>0</v>
      </c>
      <c r="F21" s="11" t="n">
        <v>1</v>
      </c>
      <c r="G21" s="11" t="n">
        <v>0</v>
      </c>
      <c r="H21" s="11" t="n">
        <v>0</v>
      </c>
      <c r="I21" s="9" t="n">
        <v>3</v>
      </c>
      <c r="J21" s="81" t="n">
        <v>0.333333333333333</v>
      </c>
    </row>
    <row r="22">
      <c r="A22" s="12" t="inlineStr">
        <is>
          <t>(주)야후건기</t>
        </is>
      </c>
      <c r="B22" s="11" t="n">
        <v>1</v>
      </c>
      <c r="C22" s="11" t="n">
        <v>1</v>
      </c>
      <c r="D22" s="11" t="n">
        <v>1</v>
      </c>
      <c r="E22" s="11" t="n">
        <v>0</v>
      </c>
      <c r="F22" s="11" t="n">
        <v>0</v>
      </c>
      <c r="G22" s="11" t="n">
        <v>1</v>
      </c>
      <c r="H22" s="11" t="n">
        <v>0</v>
      </c>
      <c r="I22" s="9" t="n">
        <v>3</v>
      </c>
      <c r="J22" s="81" t="n">
        <v>0.333333333333333</v>
      </c>
    </row>
    <row r="23" ht="26.4" customHeight="1" s="70">
      <c r="A23" s="12" t="inlineStr">
        <is>
          <t>뉴월드타워 주식회사</t>
        </is>
      </c>
      <c r="B23" s="11" t="n">
        <v>1</v>
      </c>
      <c r="C23" s="11" t="n">
        <v>1</v>
      </c>
      <c r="D23" s="11" t="n">
        <v>1</v>
      </c>
      <c r="E23" s="11" t="n">
        <v>0</v>
      </c>
      <c r="F23" s="11" t="n">
        <v>0</v>
      </c>
      <c r="G23" s="11" t="n">
        <v>1</v>
      </c>
      <c r="H23" s="11" t="n">
        <v>0</v>
      </c>
      <c r="I23" s="9" t="n">
        <v>3</v>
      </c>
      <c r="J23" s="81" t="n">
        <v>0.333333333333333</v>
      </c>
    </row>
    <row r="24">
      <c r="A24" s="12" t="inlineStr">
        <is>
          <t>국제산업렌탈(주)</t>
        </is>
      </c>
      <c r="B24" s="11" t="n">
        <v>1</v>
      </c>
      <c r="C24" s="11" t="n">
        <v>1</v>
      </c>
      <c r="D24" s="11" t="n">
        <v>1</v>
      </c>
      <c r="E24" s="11" t="n">
        <v>0</v>
      </c>
      <c r="F24" s="11" t="n">
        <v>0</v>
      </c>
      <c r="G24" s="11" t="n">
        <v>1</v>
      </c>
      <c r="H24" s="11" t="n">
        <v>0</v>
      </c>
      <c r="I24" s="9" t="n">
        <v>3</v>
      </c>
      <c r="J24" s="81" t="n">
        <v>0.333333333333333</v>
      </c>
    </row>
    <row r="25">
      <c r="A25" s="12" t="inlineStr">
        <is>
          <t>우리기계</t>
        </is>
      </c>
      <c r="B25" s="11" t="n">
        <v>1</v>
      </c>
      <c r="C25" s="11" t="n">
        <v>1</v>
      </c>
      <c r="D25" s="11" t="n">
        <v>1</v>
      </c>
      <c r="E25" s="11" t="n">
        <v>0</v>
      </c>
      <c r="F25" s="11" t="n">
        <v>1</v>
      </c>
      <c r="G25" s="11" t="n">
        <v>0</v>
      </c>
      <c r="H25" s="11" t="n">
        <v>0</v>
      </c>
      <c r="I25" s="9" t="n">
        <v>3</v>
      </c>
      <c r="J25" s="81" t="n">
        <v>0.333333333333333</v>
      </c>
    </row>
    <row r="26">
      <c r="A26" s="12" t="inlineStr">
        <is>
          <t>(주)진성타워</t>
        </is>
      </c>
      <c r="B26" s="11" t="n">
        <v>1</v>
      </c>
      <c r="C26" s="11" t="n">
        <v>0</v>
      </c>
      <c r="D26" s="11" t="n">
        <v>2</v>
      </c>
      <c r="E26" s="11" t="n">
        <v>0</v>
      </c>
      <c r="F26" s="11" t="n">
        <v>0</v>
      </c>
      <c r="G26" s="11" t="n">
        <v>1</v>
      </c>
      <c r="H26" s="11" t="n">
        <v>0</v>
      </c>
      <c r="I26" s="9" t="n">
        <v>3</v>
      </c>
      <c r="J26" s="81" t="n">
        <v>0</v>
      </c>
    </row>
    <row r="27">
      <c r="A27" s="12" t="inlineStr">
        <is>
          <t>주식회사 백산렌탈</t>
        </is>
      </c>
      <c r="B27" s="11" t="n">
        <v>1</v>
      </c>
      <c r="C27" s="11" t="n">
        <v>1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9" t="n">
        <v>2</v>
      </c>
      <c r="J27" s="81" t="n">
        <v>0.5</v>
      </c>
    </row>
    <row r="28">
      <c r="A28" s="12" t="inlineStr">
        <is>
          <t>(주)중앙티씨렌탈</t>
        </is>
      </c>
      <c r="B28" s="11" t="n">
        <v>1</v>
      </c>
      <c r="C28" s="11" t="n">
        <v>0</v>
      </c>
      <c r="D28" s="11" t="n">
        <v>1</v>
      </c>
      <c r="E28" s="11" t="n">
        <v>0</v>
      </c>
      <c r="F28" s="11" t="n">
        <v>0</v>
      </c>
      <c r="G28" s="11" t="n">
        <v>1</v>
      </c>
      <c r="H28" s="11" t="n">
        <v>0</v>
      </c>
      <c r="I28" s="9" t="n">
        <v>2</v>
      </c>
      <c r="J28" s="81" t="n">
        <v>0</v>
      </c>
    </row>
    <row r="29">
      <c r="A29" s="12" t="inlineStr">
        <is>
          <t>주식회사 한불타워</t>
        </is>
      </c>
      <c r="B29" s="11" t="n">
        <v>1</v>
      </c>
      <c r="C29" s="11" t="n">
        <v>1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9" t="n">
        <v>2</v>
      </c>
      <c r="J29" s="81" t="n">
        <v>0.5</v>
      </c>
    </row>
    <row r="30">
      <c r="A30" s="12" t="inlineStr">
        <is>
          <t>정호개발주식회사</t>
        </is>
      </c>
      <c r="B30" s="11" t="n">
        <v>2</v>
      </c>
      <c r="C30" s="11" t="n">
        <v>2</v>
      </c>
      <c r="D30" s="11" t="n">
        <v>3</v>
      </c>
      <c r="E30" s="11" t="n">
        <v>0</v>
      </c>
      <c r="F30" s="11" t="n">
        <v>0</v>
      </c>
      <c r="G30" s="11" t="n">
        <v>0</v>
      </c>
      <c r="H30" s="11" t="n">
        <v>0</v>
      </c>
      <c r="I30" s="9" t="n">
        <v>5</v>
      </c>
      <c r="J30" s="81" t="n">
        <v>0.4</v>
      </c>
    </row>
    <row r="31">
      <c r="A31" s="12" t="inlineStr">
        <is>
          <t>(주)무기타워렌탈</t>
        </is>
      </c>
      <c r="B31" s="11" t="n">
        <v>1</v>
      </c>
      <c r="C31" s="11" t="n">
        <v>0</v>
      </c>
      <c r="D31" s="11" t="n">
        <v>1</v>
      </c>
      <c r="E31" s="11" t="n">
        <v>0</v>
      </c>
      <c r="F31" s="11" t="n">
        <v>0</v>
      </c>
      <c r="G31" s="11" t="n">
        <v>0</v>
      </c>
      <c r="H31" s="11" t="n">
        <v>0</v>
      </c>
      <c r="I31" s="9" t="n">
        <v>1</v>
      </c>
      <c r="J31" s="81" t="n">
        <v>0</v>
      </c>
    </row>
    <row r="32">
      <c r="A32" s="12" t="inlineStr">
        <is>
          <t>(주)타워링</t>
        </is>
      </c>
      <c r="B32" s="11" t="n">
        <v>1</v>
      </c>
      <c r="C32" s="11" t="n">
        <v>1</v>
      </c>
      <c r="D32" s="11" t="n">
        <v>1</v>
      </c>
      <c r="E32" s="11" t="n">
        <v>0</v>
      </c>
      <c r="F32" s="11" t="n">
        <v>0</v>
      </c>
      <c r="G32" s="11" t="n">
        <v>0</v>
      </c>
      <c r="H32" s="11" t="n">
        <v>0</v>
      </c>
      <c r="I32" s="9" t="n">
        <v>2</v>
      </c>
      <c r="J32" s="81" t="n">
        <v>0.5</v>
      </c>
    </row>
    <row r="33">
      <c r="A33" s="12" t="inlineStr">
        <is>
          <t>(주)타워랜드</t>
        </is>
      </c>
      <c r="B33" s="11" t="n">
        <v>1</v>
      </c>
      <c r="C33" s="11" t="n">
        <v>1</v>
      </c>
      <c r="D33" s="11" t="n">
        <v>2</v>
      </c>
      <c r="E33" s="11" t="n">
        <v>1</v>
      </c>
      <c r="F33" s="11" t="n">
        <v>0</v>
      </c>
      <c r="G33" s="11" t="n">
        <v>0</v>
      </c>
      <c r="H33" s="11" t="n">
        <v>0</v>
      </c>
      <c r="I33" s="9" t="n">
        <v>4</v>
      </c>
      <c r="J33" s="81" t="n">
        <v>0.25</v>
      </c>
    </row>
    <row r="34">
      <c r="A34" s="12" t="inlineStr">
        <is>
          <t>신우개발(주)</t>
        </is>
      </c>
      <c r="B34" s="11" t="n">
        <v>1</v>
      </c>
      <c r="C34" s="11" t="n">
        <v>1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9" t="n">
        <v>1</v>
      </c>
      <c r="J34" s="81" t="n">
        <v>1</v>
      </c>
    </row>
    <row r="35">
      <c r="A35" s="12" t="inlineStr">
        <is>
          <t>주식회사 삼진타워</t>
        </is>
      </c>
      <c r="B35" s="11" t="n">
        <v>1</v>
      </c>
      <c r="C35" s="11" t="n">
        <v>1</v>
      </c>
      <c r="D35" s="11" t="n">
        <v>1</v>
      </c>
      <c r="E35" s="11" t="n">
        <v>0</v>
      </c>
      <c r="F35" s="11" t="n">
        <v>0</v>
      </c>
      <c r="G35" s="11" t="n">
        <v>1</v>
      </c>
      <c r="H35" s="11" t="n">
        <v>2</v>
      </c>
      <c r="I35" s="9" t="n">
        <v>5</v>
      </c>
      <c r="J35" s="81" t="n">
        <v>0.2</v>
      </c>
    </row>
    <row r="36">
      <c r="A36" s="65" t="inlineStr">
        <is>
          <t>(주)한진</t>
        </is>
      </c>
      <c r="B36" s="65" t="n">
        <v>2</v>
      </c>
      <c r="C36" s="65" t="n">
        <v>2</v>
      </c>
      <c r="D36" s="65" t="n">
        <v>2</v>
      </c>
      <c r="E36" s="65" t="n">
        <v>0</v>
      </c>
      <c r="F36" s="65" t="n">
        <v>0</v>
      </c>
      <c r="G36" s="65" t="n">
        <v>1</v>
      </c>
      <c r="H36" s="65" t="n">
        <v>2</v>
      </c>
      <c r="I36" s="65" t="n">
        <v>7</v>
      </c>
      <c r="J36" s="77" t="n">
        <v>0.285</v>
      </c>
    </row>
    <row r="37">
      <c r="A37" s="65" t="inlineStr">
        <is>
          <t>주식회사 필웍스</t>
        </is>
      </c>
      <c r="B37" s="65" t="n">
        <v>1</v>
      </c>
      <c r="C37" s="65" t="n">
        <v>1</v>
      </c>
      <c r="D37" s="65" t="n">
        <v>2</v>
      </c>
      <c r="E37" s="65" t="n">
        <v>1</v>
      </c>
      <c r="F37" s="65" t="n">
        <v>0</v>
      </c>
      <c r="G37" s="65" t="n">
        <v>0</v>
      </c>
      <c r="H37" s="65" t="n">
        <v>0</v>
      </c>
      <c r="I37" s="65" t="n">
        <v>4</v>
      </c>
      <c r="J37" s="82" t="n">
        <v>0.25</v>
      </c>
    </row>
    <row r="38">
      <c r="A38" s="65" t="inlineStr">
        <is>
          <t>(주)남산공영</t>
        </is>
      </c>
      <c r="B38" s="65" t="n">
        <v>1</v>
      </c>
      <c r="C38" s="65" t="n">
        <v>1</v>
      </c>
      <c r="D38" s="65" t="n">
        <v>1</v>
      </c>
      <c r="E38" s="65" t="n">
        <v>0</v>
      </c>
      <c r="F38" s="65" t="n">
        <v>0</v>
      </c>
      <c r="G38" s="65" t="n">
        <v>0</v>
      </c>
      <c r="H38" s="65" t="n">
        <v>2</v>
      </c>
      <c r="I38" s="65" t="n">
        <v>4</v>
      </c>
      <c r="J38" s="82" t="n">
        <v>0.25</v>
      </c>
    </row>
    <row r="39">
      <c r="A39" s="65" t="inlineStr">
        <is>
          <t>(주)금강건기</t>
        </is>
      </c>
      <c r="B39" s="65" t="n">
        <v>1</v>
      </c>
      <c r="C39" s="65" t="n">
        <v>1</v>
      </c>
      <c r="D39" s="65" t="n">
        <v>2</v>
      </c>
      <c r="E39" s="65" t="n">
        <v>0</v>
      </c>
      <c r="F39" s="65" t="n">
        <v>0</v>
      </c>
      <c r="G39" s="65" t="n">
        <v>1</v>
      </c>
      <c r="H39" s="65" t="n">
        <v>0</v>
      </c>
      <c r="I39" s="65" t="n">
        <v>4</v>
      </c>
      <c r="J39" s="82" t="n">
        <v>0.25</v>
      </c>
    </row>
  </sheetData>
  <mergeCells count="1">
    <mergeCell ref="A1:J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"/>
  <sheetViews>
    <sheetView topLeftCell="A7" workbookViewId="0">
      <selection activeCell="E21" sqref="E21"/>
    </sheetView>
  </sheetViews>
  <sheetFormatPr baseColWidth="8" defaultRowHeight="17.4"/>
  <cols>
    <col width="9.19921875" bestFit="1" customWidth="1" style="70" min="1" max="1"/>
    <col width="27.296875" bestFit="1" customWidth="1" style="70" min="2" max="2"/>
    <col width="8.59765625" bestFit="1" customWidth="1" style="70" min="3" max="3"/>
    <col width="18.19921875" bestFit="1" customWidth="1" style="70" min="4" max="4"/>
    <col width="8.19921875" bestFit="1" customWidth="1" style="70" min="5" max="6"/>
    <col width="4.796875" bestFit="1" customWidth="1" style="70" min="7" max="8"/>
    <col width="16.796875" bestFit="1" customWidth="1" style="70" min="9" max="9"/>
  </cols>
  <sheetData>
    <row r="1" ht="25.2" customHeight="1" s="70">
      <c r="A1" s="69" t="inlineStr">
        <is>
          <t>반도체 현장 타워크레인 설치 및 노조별 대수 현황</t>
        </is>
      </c>
    </row>
    <row r="2">
      <c r="A2" s="72" t="inlineStr">
        <is>
          <t>■ 임대사: 신우개발(주)   |   ■ 비고: 야간 수치 미적용</t>
        </is>
      </c>
    </row>
    <row r="4" ht="19.2" customHeight="1" s="70">
      <c r="A4" s="71" t="inlineStr">
        <is>
          <t>1. 반도체 현장 전체 대수 비교 (노조별 총합)</t>
        </is>
      </c>
    </row>
    <row r="5">
      <c r="A5" s="18" t="inlineStr">
        <is>
          <t>전체 대수</t>
        </is>
      </c>
      <c r="B5" s="18" t="inlineStr">
        <is>
          <t>한국노총</t>
        </is>
      </c>
      <c r="C5" s="18" t="inlineStr">
        <is>
          <t>민주노총</t>
        </is>
      </c>
      <c r="D5" s="18" t="inlineStr">
        <is>
          <t>건설노조(건산,섬유)</t>
        </is>
      </c>
      <c r="E5" s="18" t="inlineStr">
        <is>
          <t>비노조</t>
        </is>
      </c>
      <c r="F5" s="18" t="inlineStr">
        <is>
          <t>미정</t>
        </is>
      </c>
    </row>
    <row r="6">
      <c r="A6" s="19">
        <f>SUM(C11:C20)</f>
        <v/>
      </c>
      <c r="B6" s="19">
        <f>SUM(D11:D20)</f>
        <v/>
      </c>
      <c r="C6" s="19">
        <f>SUM(E11:E20)</f>
        <v/>
      </c>
      <c r="D6" s="19">
        <f>SUM(F11:F20)</f>
        <v/>
      </c>
      <c r="E6" s="19">
        <f>SUM(G11:G20)</f>
        <v/>
      </c>
      <c r="F6" s="19">
        <f>SUM(H11:H20)</f>
        <v/>
      </c>
    </row>
    <row r="7">
      <c r="A7" s="20" t="inlineStr">
        <is>
          <t>점유율</t>
        </is>
      </c>
      <c r="B7" s="83">
        <f>B6/A6</f>
        <v/>
      </c>
      <c r="C7" s="83">
        <f>C6/A6</f>
        <v/>
      </c>
      <c r="D7" s="83">
        <f>D6/A6</f>
        <v/>
      </c>
      <c r="E7" s="83">
        <f>E6/A6</f>
        <v/>
      </c>
      <c r="F7" s="83">
        <f>F6/A6</f>
        <v/>
      </c>
    </row>
    <row r="9" ht="19.2" customHeight="1" s="70">
      <c r="A9" s="71" t="inlineStr">
        <is>
          <t>2. 각 현장별 타워크레인 대수 및 노조별 상세 현황</t>
        </is>
      </c>
    </row>
    <row r="10" ht="46.95" customHeight="1" s="70">
      <c r="A10" s="21" t="inlineStr">
        <is>
          <t>No.</t>
        </is>
      </c>
      <c r="B10" s="21" t="inlineStr">
        <is>
          <t>현장명</t>
        </is>
      </c>
      <c r="C10" s="21" t="inlineStr">
        <is>
          <t>전체대수</t>
        </is>
      </c>
      <c r="D10" s="21" t="inlineStr">
        <is>
          <t>한국노총</t>
        </is>
      </c>
      <c r="E10" s="21" t="inlineStr">
        <is>
          <t>민주노총</t>
        </is>
      </c>
      <c r="F10" s="21" t="inlineStr">
        <is>
          <t>건설노조
(건산,섬유)</t>
        </is>
      </c>
      <c r="G10" s="21" t="inlineStr">
        <is>
          <t>비노조</t>
        </is>
      </c>
      <c r="H10" s="21" t="inlineStr">
        <is>
          <t>미정</t>
        </is>
      </c>
      <c r="I10" s="21" t="inlineStr">
        <is>
          <t>*반도체 현장 파악 담당자</t>
        </is>
      </c>
    </row>
    <row r="11">
      <c r="A11" s="22" t="n">
        <v>1</v>
      </c>
      <c r="B11" s="23" t="inlineStr">
        <is>
          <t>평택 삼성 반도체 P5복합동</t>
        </is>
      </c>
      <c r="C11" s="24" t="n">
        <v>29</v>
      </c>
      <c r="D11" s="25" t="n">
        <v>11</v>
      </c>
      <c r="E11" s="25" t="n">
        <v>16</v>
      </c>
      <c r="F11" s="25" t="n">
        <v>0</v>
      </c>
      <c r="G11" s="25" t="n">
        <v>2</v>
      </c>
      <c r="H11" s="25" t="n">
        <v>0</v>
      </c>
      <c r="I11" s="26" t="inlineStr">
        <is>
          <t>서상일 010-6371-1575</t>
        </is>
      </c>
    </row>
    <row r="12">
      <c r="A12" s="27" t="n">
        <v>2</v>
      </c>
      <c r="B12" s="28" t="inlineStr">
        <is>
          <t>평택삼성 P5 FAB동 1차구간</t>
        </is>
      </c>
      <c r="C12" s="29" t="n">
        <v>23</v>
      </c>
      <c r="D12" s="30" t="n">
        <v>10</v>
      </c>
      <c r="E12" s="30" t="n">
        <v>10</v>
      </c>
      <c r="F12" s="30" t="n">
        <v>1</v>
      </c>
      <c r="G12" s="30" t="n">
        <v>2</v>
      </c>
      <c r="H12" s="30" t="n">
        <v>0</v>
      </c>
      <c r="I12" s="31" t="inlineStr">
        <is>
          <t>홍영종 010-8269-9115</t>
        </is>
      </c>
    </row>
    <row r="13">
      <c r="A13" s="22" t="n">
        <v>3</v>
      </c>
      <c r="B13" s="23" t="inlineStr">
        <is>
          <t>평택삼성 P5 FAB동 2차구간</t>
        </is>
      </c>
      <c r="C13" s="24" t="n">
        <v>10</v>
      </c>
      <c r="D13" s="25" t="n">
        <v>4</v>
      </c>
      <c r="E13" s="25" t="n">
        <v>5</v>
      </c>
      <c r="F13" s="25" t="n">
        <v>0</v>
      </c>
      <c r="G13" s="25" t="n">
        <v>1</v>
      </c>
      <c r="H13" s="25" t="n">
        <v>0</v>
      </c>
      <c r="I13" s="26" t="inlineStr">
        <is>
          <t>장수영 010-7744-7746</t>
        </is>
      </c>
    </row>
    <row r="14">
      <c r="A14" s="27" t="n">
        <v>4</v>
      </c>
      <c r="B14" s="28" t="inlineStr">
        <is>
          <t>평택삼성 P4 대기방지(배정완료)</t>
        </is>
      </c>
      <c r="C14" s="29" t="n">
        <v>14</v>
      </c>
      <c r="D14" s="30" t="n">
        <v>5</v>
      </c>
      <c r="E14" s="30" t="n">
        <v>6</v>
      </c>
      <c r="F14" s="30" t="n">
        <v>0</v>
      </c>
      <c r="G14" s="30" t="n">
        <v>3</v>
      </c>
      <c r="H14" s="30" t="n">
        <v>0</v>
      </c>
      <c r="I14" s="31" t="inlineStr">
        <is>
          <t xml:space="preserve">현장배정마감 </t>
        </is>
      </c>
    </row>
    <row r="15">
      <c r="A15" s="22" t="n">
        <v>5</v>
      </c>
      <c r="B15" s="23" t="inlineStr">
        <is>
          <t>p4 복합동(배정완료)</t>
        </is>
      </c>
      <c r="C15" s="24" t="n">
        <v>5</v>
      </c>
      <c r="D15" s="25" t="n">
        <v>2</v>
      </c>
      <c r="E15" s="25" t="n">
        <v>2</v>
      </c>
      <c r="F15" s="25" t="n">
        <v>0</v>
      </c>
      <c r="G15" s="25" t="n">
        <v>1</v>
      </c>
      <c r="H15" s="25" t="n">
        <v>0</v>
      </c>
      <c r="I15" s="31" t="inlineStr">
        <is>
          <t xml:space="preserve">현장배정마감 </t>
        </is>
      </c>
    </row>
    <row r="16">
      <c r="A16" s="27" t="n">
        <v>6</v>
      </c>
      <c r="B16" s="28" t="inlineStr">
        <is>
          <t>기흥 NRD K2</t>
        </is>
      </c>
      <c r="C16" s="29" t="n">
        <v>3</v>
      </c>
      <c r="D16" s="30" t="n">
        <v>2</v>
      </c>
      <c r="E16" s="30" t="n">
        <v>1</v>
      </c>
      <c r="F16" s="30" t="n">
        <v>0</v>
      </c>
      <c r="G16" s="30" t="n">
        <v>0</v>
      </c>
      <c r="H16" s="30" t="n">
        <v>0</v>
      </c>
      <c r="I16" s="31" t="inlineStr">
        <is>
          <t>민주식 010-4870-9982</t>
        </is>
      </c>
    </row>
    <row r="17">
      <c r="A17" s="22" t="n">
        <v>7</v>
      </c>
      <c r="B17" s="23" t="inlineStr">
        <is>
          <t>용인 SK하이닉스 FAB동</t>
        </is>
      </c>
      <c r="C17" s="24" t="n">
        <v>15</v>
      </c>
      <c r="D17" s="25" t="n">
        <v>6</v>
      </c>
      <c r="E17" s="25" t="n">
        <v>7</v>
      </c>
      <c r="F17" s="25" t="n">
        <v>0</v>
      </c>
      <c r="G17" s="25" t="n">
        <v>2</v>
      </c>
      <c r="H17" s="25" t="n">
        <v>0</v>
      </c>
      <c r="I17" s="26" t="inlineStr">
        <is>
          <t>정성욱 010-8965-4560</t>
        </is>
      </c>
    </row>
    <row r="18">
      <c r="A18" s="27" t="n">
        <v>8</v>
      </c>
      <c r="B18" s="28" t="inlineStr">
        <is>
          <t>용인 하이닉스 PH4 CUB동</t>
        </is>
      </c>
      <c r="C18" s="29" t="n">
        <v>5</v>
      </c>
      <c r="D18" s="30" t="n">
        <v>2</v>
      </c>
      <c r="E18" s="30" t="n">
        <v>3</v>
      </c>
      <c r="F18" s="30" t="n">
        <v>0</v>
      </c>
      <c r="G18" s="30" t="n">
        <v>0</v>
      </c>
      <c r="H18" s="30" t="n">
        <v>0</v>
      </c>
      <c r="I18" s="31" t="inlineStr">
        <is>
          <t>진두영 010-4179-2617</t>
        </is>
      </c>
    </row>
    <row r="19">
      <c r="A19" s="22" t="n">
        <v>9</v>
      </c>
      <c r="B19" s="23" t="inlineStr">
        <is>
          <t>용인 SK PH4 FAB동</t>
        </is>
      </c>
      <c r="C19" s="24" t="n">
        <v>2</v>
      </c>
      <c r="D19" s="25" t="n">
        <v>1</v>
      </c>
      <c r="E19" s="25" t="n">
        <v>1</v>
      </c>
      <c r="F19" s="25" t="n">
        <v>0</v>
      </c>
      <c r="G19" s="25" t="n">
        <v>0</v>
      </c>
      <c r="H19" s="25" t="n">
        <v>0</v>
      </c>
      <c r="I19" s="26" t="inlineStr">
        <is>
          <t>최영길 010-7409-0253</t>
        </is>
      </c>
    </row>
    <row r="20" ht="18" customHeight="1" s="70" thickBot="1">
      <c r="A20" s="27" t="n">
        <v>10</v>
      </c>
      <c r="B20" s="28" t="inlineStr">
        <is>
          <t>삼성p5 그린동</t>
        </is>
      </c>
      <c r="C20" s="29" t="n">
        <v>6</v>
      </c>
      <c r="D20" s="30" t="n">
        <v>2</v>
      </c>
      <c r="E20" s="30" t="n">
        <v>3</v>
      </c>
      <c r="F20" s="30" t="n">
        <v>0</v>
      </c>
      <c r="G20" s="30" t="n">
        <v>1</v>
      </c>
      <c r="H20" s="30" t="n">
        <v>0</v>
      </c>
      <c r="I20" s="31" t="inlineStr">
        <is>
          <t xml:space="preserve">현장배정마감 </t>
        </is>
      </c>
    </row>
    <row r="21" ht="18" customHeight="1" s="70" thickBot="1">
      <c r="A21" s="32" t="n"/>
      <c r="B21" s="33" t="inlineStr">
        <is>
          <t>합 계</t>
        </is>
      </c>
      <c r="C21" s="34">
        <f>SUM(C11:C20)</f>
        <v/>
      </c>
      <c r="D21" s="34">
        <f>SUM(D11:D20)</f>
        <v/>
      </c>
      <c r="E21" s="34">
        <f>SUM(E11:E20)</f>
        <v/>
      </c>
      <c r="F21" s="34">
        <f>SUM(F11:F20)</f>
        <v/>
      </c>
      <c r="G21" s="34">
        <f>SUM(G11:G20)</f>
        <v/>
      </c>
      <c r="H21" s="34">
        <f>SUM(H11:H20)</f>
        <v/>
      </c>
      <c r="I21" s="32" t="n"/>
    </row>
    <row r="22" ht="18" customHeight="1" s="70" thickTop="1"/>
  </sheetData>
  <mergeCells count="4">
    <mergeCell ref="A1:I1"/>
    <mergeCell ref="A4:I4"/>
    <mergeCell ref="A2:I2"/>
    <mergeCell ref="A9:I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4"/>
  <sheetViews>
    <sheetView tabSelected="1" workbookViewId="0">
      <selection activeCell="K10" sqref="K10"/>
    </sheetView>
  </sheetViews>
  <sheetFormatPr baseColWidth="8" defaultRowHeight="17.4"/>
  <cols>
    <col width="20.19921875" bestFit="1" customWidth="1" style="70" min="1" max="1"/>
    <col width="23.8984375" bestFit="1" customWidth="1" style="70" min="2" max="2"/>
    <col width="9.19921875" bestFit="1" customWidth="1" style="70" min="3" max="3"/>
    <col width="7.5" bestFit="1" customWidth="1" style="70" min="4" max="4"/>
    <col width="6.5" bestFit="1" customWidth="1" style="70" min="5" max="6"/>
    <col width="7.3984375" bestFit="1" customWidth="1" style="70" min="7" max="7"/>
    <col width="6.5" bestFit="1" customWidth="1" style="70" min="8" max="9"/>
    <col width="16.796875" bestFit="1" customWidth="1" style="70" min="10" max="10"/>
  </cols>
  <sheetData>
    <row r="1" ht="19.2" customHeight="1" s="70">
      <c r="A1" s="74" t="inlineStr">
        <is>
          <t>1월 채용 현황</t>
        </is>
      </c>
    </row>
    <row r="2" ht="34.8" customHeight="1" s="70">
      <c r="A2" s="52" t="inlineStr">
        <is>
          <t>임대사</t>
        </is>
      </c>
      <c r="B2" s="52" t="inlineStr">
        <is>
          <t>원청사</t>
        </is>
      </c>
      <c r="C2" s="52" t="inlineStr">
        <is>
          <t>현장명</t>
        </is>
      </c>
      <c r="D2" s="52" t="inlineStr">
        <is>
          <t>총대수</t>
        </is>
      </c>
      <c r="E2" s="52" t="inlineStr">
        <is>
          <t>한노</t>
        </is>
      </c>
      <c r="F2" s="52" t="inlineStr">
        <is>
          <t>민노</t>
        </is>
      </c>
      <c r="G2" s="52" t="inlineStr">
        <is>
          <t>기타(건산섬유)</t>
        </is>
      </c>
      <c r="H2" s="52" t="inlineStr">
        <is>
          <t>직원</t>
        </is>
      </c>
      <c r="I2" s="52" t="inlineStr">
        <is>
          <t>미정</t>
        </is>
      </c>
      <c r="J2" s="52" t="inlineStr">
        <is>
          <t>비고</t>
        </is>
      </c>
    </row>
    <row r="3" ht="39.6" customHeight="1" s="70">
      <c r="A3" s="53" t="inlineStr">
        <is>
          <t>주식회사 씨에이치건기</t>
        </is>
      </c>
      <c r="B3" s="54" t="inlineStr">
        <is>
          <t>(주)금강주택</t>
        </is>
      </c>
      <c r="C3" s="42" t="inlineStr">
        <is>
          <t>대야미역금강펜테리움레이크포레</t>
        </is>
      </c>
      <c r="D3" s="55" t="n">
        <v>4</v>
      </c>
      <c r="E3" s="55" t="n">
        <v>2</v>
      </c>
      <c r="F3" s="55" t="n">
        <v>2</v>
      </c>
      <c r="G3" s="55" t="n">
        <v>0</v>
      </c>
      <c r="H3" s="55" t="n">
        <v>0</v>
      </c>
      <c r="I3" s="55" t="n">
        <v>0</v>
      </c>
      <c r="J3" s="56" t="n"/>
    </row>
    <row r="4" ht="26.4" customHeight="1" s="70">
      <c r="A4" s="54" t="inlineStr">
        <is>
          <t>(주)국영타워랜드</t>
        </is>
      </c>
      <c r="B4" s="53" t="inlineStr">
        <is>
          <t>현대건설(주)</t>
        </is>
      </c>
      <c r="C4" s="42" t="inlineStr">
        <is>
          <t>디에이치아델스타</t>
        </is>
      </c>
      <c r="D4" s="55" t="n">
        <v>5</v>
      </c>
      <c r="E4" s="55" t="n">
        <v>1</v>
      </c>
      <c r="F4" s="55" t="n">
        <v>3</v>
      </c>
      <c r="G4" s="55" t="n">
        <v>0</v>
      </c>
      <c r="H4" s="55" t="n">
        <v>1</v>
      </c>
      <c r="I4" s="55" t="n">
        <v>0</v>
      </c>
      <c r="J4" s="56" t="n"/>
    </row>
    <row r="5" ht="42" customHeight="1" s="70">
      <c r="A5" s="54" t="inlineStr">
        <is>
          <t>(주)진성타워</t>
        </is>
      </c>
      <c r="B5" s="53" t="inlineStr">
        <is>
          <t>양우건설(주)</t>
        </is>
      </c>
      <c r="C5" s="42" t="inlineStr">
        <is>
          <t>과천주암C-2신혼희망타운</t>
        </is>
      </c>
      <c r="D5" s="55" t="n">
        <v>4</v>
      </c>
      <c r="E5" s="55" t="n">
        <v>1</v>
      </c>
      <c r="F5" s="55" t="n">
        <v>1</v>
      </c>
      <c r="G5" s="55" t="n">
        <v>0</v>
      </c>
      <c r="H5" s="55" t="n">
        <v>2</v>
      </c>
      <c r="I5" s="55" t="n">
        <v>0</v>
      </c>
      <c r="J5" s="56" t="n"/>
    </row>
    <row r="6" ht="26.4" customHeight="1" s="70">
      <c r="A6" s="54" t="inlineStr">
        <is>
          <t>(주)규람타워렌탈</t>
        </is>
      </c>
      <c r="B6" s="54" t="inlineStr">
        <is>
          <t>(주)포스코이앤씨</t>
        </is>
      </c>
      <c r="C6" s="42" t="inlineStr">
        <is>
          <t>더샵분당하이스트</t>
        </is>
      </c>
      <c r="D6" s="55" t="n">
        <v>8</v>
      </c>
      <c r="E6" s="55" t="n">
        <v>2</v>
      </c>
      <c r="F6" s="55" t="n">
        <v>4</v>
      </c>
      <c r="G6" s="55" t="n">
        <v>1</v>
      </c>
      <c r="H6" s="55" t="n">
        <v>1</v>
      </c>
      <c r="I6" s="55" t="n">
        <v>0</v>
      </c>
      <c r="J6" s="56" t="n"/>
    </row>
    <row r="7" ht="55.2" customHeight="1" s="70">
      <c r="A7" s="53" t="inlineStr">
        <is>
          <t>주식회사 백산렌탈</t>
        </is>
      </c>
      <c r="B7" s="54" t="inlineStr">
        <is>
          <t>(주)금성백조주택</t>
        </is>
      </c>
      <c r="C7" s="42" t="inlineStr">
        <is>
          <t>안성아양B2블록금성백조예미지</t>
        </is>
      </c>
      <c r="D7" s="55" t="n">
        <v>6</v>
      </c>
      <c r="E7" s="55" t="n">
        <v>3</v>
      </c>
      <c r="F7" s="55" t="n">
        <v>2</v>
      </c>
      <c r="G7" s="55" t="n">
        <v>0</v>
      </c>
      <c r="H7" s="55" t="n">
        <v>1</v>
      </c>
      <c r="I7" s="55" t="n">
        <v>0</v>
      </c>
      <c r="J7" s="56" t="n"/>
    </row>
    <row r="8">
      <c r="A8" s="75" t="inlineStr">
        <is>
          <t>합계</t>
        </is>
      </c>
      <c r="B8" s="84" t="n"/>
      <c r="C8" s="85" t="n"/>
      <c r="D8" s="57">
        <f>SUM(D3:D7)</f>
        <v/>
      </c>
      <c r="E8" s="57">
        <f>SUM(E3:E7)</f>
        <v/>
      </c>
      <c r="F8" s="57">
        <f>SUM(F3:F7)</f>
        <v/>
      </c>
      <c r="G8" s="57">
        <f>SUM(G3:G7)</f>
        <v/>
      </c>
      <c r="H8" s="57">
        <f>SUM(H3:H7)</f>
        <v/>
      </c>
      <c r="I8" s="57">
        <f>SUM(I3:I7)</f>
        <v/>
      </c>
      <c r="J8" s="58" t="n"/>
    </row>
    <row r="9">
      <c r="A9" s="73" t="inlineStr">
        <is>
          <t>비율 (총대수=100%)</t>
        </is>
      </c>
      <c r="B9" s="84" t="n"/>
      <c r="C9" s="85" t="n"/>
      <c r="D9" s="86">
        <f>IF($D8=0,0,D8/$D8)</f>
        <v/>
      </c>
      <c r="E9" s="86">
        <f>IF($D8=0,0,E8/$D8)</f>
        <v/>
      </c>
      <c r="F9" s="86">
        <f>IF($D8=0,0,F8/$D8)</f>
        <v/>
      </c>
      <c r="G9" s="86">
        <f>IF($D8=0,0,G8/$D8)</f>
        <v/>
      </c>
      <c r="H9" s="86">
        <f>IF($D8=0,0,H8/$D8)</f>
        <v/>
      </c>
      <c r="I9" s="86">
        <f>IF($D8=0,0,I8/$D8)</f>
        <v/>
      </c>
      <c r="J9" s="60" t="n"/>
    </row>
    <row r="11" ht="19.2" customHeight="1" s="70">
      <c r="A11" s="74" t="inlineStr">
        <is>
          <t>2월 채용 현황</t>
        </is>
      </c>
    </row>
    <row r="12" ht="34.8" customHeight="1" s="70">
      <c r="A12" s="52" t="inlineStr">
        <is>
          <t>임대사</t>
        </is>
      </c>
      <c r="B12" s="52" t="inlineStr">
        <is>
          <t>원청사</t>
        </is>
      </c>
      <c r="C12" s="52" t="inlineStr">
        <is>
          <t>현장명</t>
        </is>
      </c>
      <c r="D12" s="52" t="inlineStr">
        <is>
          <t>총대수</t>
        </is>
      </c>
      <c r="E12" s="52" t="inlineStr">
        <is>
          <t>한노</t>
        </is>
      </c>
      <c r="F12" s="52" t="inlineStr">
        <is>
          <t>민노</t>
        </is>
      </c>
      <c r="G12" s="52" t="inlineStr">
        <is>
          <t>기타(건산섬유)</t>
        </is>
      </c>
      <c r="H12" s="52" t="inlineStr">
        <is>
          <t>직원</t>
        </is>
      </c>
      <c r="I12" s="52" t="inlineStr">
        <is>
          <t>미정</t>
        </is>
      </c>
      <c r="J12" s="52" t="inlineStr">
        <is>
          <t>비고</t>
        </is>
      </c>
    </row>
    <row r="13" ht="26.4" customHeight="1" s="70">
      <c r="A13" s="53" t="inlineStr">
        <is>
          <t>주식회사 비엠케이</t>
        </is>
      </c>
      <c r="B13" s="53" t="inlineStr">
        <is>
          <t>에이치디씨현대산업개발(주)</t>
        </is>
      </c>
      <c r="C13" s="42" t="inlineStr">
        <is>
          <t>호현센트럴아이파크</t>
        </is>
      </c>
      <c r="D13" s="55" t="n">
        <v>4</v>
      </c>
      <c r="E13" s="55" t="n">
        <v>2</v>
      </c>
      <c r="F13" s="55" t="n">
        <v>2</v>
      </c>
      <c r="G13" s="55" t="n">
        <v>0</v>
      </c>
      <c r="H13" s="55" t="n">
        <v>0</v>
      </c>
      <c r="I13" s="55" t="n">
        <v>0</v>
      </c>
      <c r="J13" s="56" t="n"/>
    </row>
    <row r="14" ht="39.6" customHeight="1" s="70">
      <c r="A14" s="53" t="inlineStr">
        <is>
          <t>오투기계산업(주)</t>
        </is>
      </c>
      <c r="B14" s="54" t="inlineStr">
        <is>
          <t>(주)태영건설</t>
        </is>
      </c>
      <c r="C14" s="42" t="inlineStr">
        <is>
          <t>동탄꿈의숲자연앤데시앙</t>
        </is>
      </c>
      <c r="D14" s="55" t="n">
        <v>8</v>
      </c>
      <c r="E14" s="55" t="n">
        <v>2</v>
      </c>
      <c r="F14" s="55" t="n">
        <v>4</v>
      </c>
      <c r="G14" s="55" t="n">
        <v>0</v>
      </c>
      <c r="H14" s="55" t="n">
        <v>2</v>
      </c>
      <c r="I14" s="55" t="n">
        <v>0</v>
      </c>
      <c r="J14" s="56" t="n"/>
    </row>
    <row r="15" ht="39.6" customHeight="1" s="70">
      <c r="A15" s="54" t="inlineStr">
        <is>
          <t>(주)국영타워랜드</t>
        </is>
      </c>
      <c r="B15" s="54" t="inlineStr">
        <is>
          <t>(주)대우건설</t>
        </is>
      </c>
      <c r="C15" s="42" t="inlineStr">
        <is>
          <t>동탄포레파크자연앤푸르지오</t>
        </is>
      </c>
      <c r="D15" s="55" t="n">
        <v>6</v>
      </c>
      <c r="E15" s="55" t="n">
        <v>2</v>
      </c>
      <c r="F15" s="55" t="n">
        <v>2</v>
      </c>
      <c r="G15" s="55" t="n">
        <v>1</v>
      </c>
      <c r="H15" s="55" t="n">
        <v>1</v>
      </c>
      <c r="I15" s="55" t="n">
        <v>0</v>
      </c>
      <c r="J15" s="56" t="n"/>
    </row>
    <row r="16" ht="39.6" customHeight="1" s="70">
      <c r="A16" s="53" t="inlineStr">
        <is>
          <t>주식회사 씨에이치건기</t>
        </is>
      </c>
      <c r="B16" s="54" t="inlineStr">
        <is>
          <t>(주)금강주택</t>
        </is>
      </c>
      <c r="C16" s="42" t="inlineStr">
        <is>
          <t>대야미역금강펜테리움레이크포레</t>
        </is>
      </c>
      <c r="D16" s="55" t="n">
        <v>4</v>
      </c>
      <c r="E16" s="55" t="n">
        <v>2</v>
      </c>
      <c r="F16" s="55" t="n">
        <v>2</v>
      </c>
      <c r="G16" s="55" t="n">
        <v>0</v>
      </c>
      <c r="H16" s="55" t="n">
        <v>0</v>
      </c>
      <c r="I16" s="55" t="n">
        <v>0</v>
      </c>
      <c r="J16" s="56" t="n"/>
    </row>
    <row r="17">
      <c r="A17" s="75" t="inlineStr">
        <is>
          <t>합계</t>
        </is>
      </c>
      <c r="B17" s="84" t="n"/>
      <c r="C17" s="85" t="n"/>
      <c r="D17" s="57">
        <f>SUM(D13:D16)</f>
        <v/>
      </c>
      <c r="E17" s="57">
        <f>SUM(E13:E16)</f>
        <v/>
      </c>
      <c r="F17" s="57">
        <f>SUM(F13:F16)</f>
        <v/>
      </c>
      <c r="G17" s="57">
        <f>SUM(G13:G16)</f>
        <v/>
      </c>
      <c r="H17" s="57">
        <f>SUM(H13:H16)</f>
        <v/>
      </c>
      <c r="I17" s="57">
        <f>SUM(I13:I16)</f>
        <v/>
      </c>
      <c r="J17" s="58" t="n"/>
    </row>
    <row r="18">
      <c r="A18" s="73" t="inlineStr">
        <is>
          <t>비율 (총대수=100%)</t>
        </is>
      </c>
      <c r="B18" s="84" t="n"/>
      <c r="C18" s="85" t="n"/>
      <c r="D18" s="86">
        <f>IF($D17=0,0,D17/$D17)</f>
        <v/>
      </c>
      <c r="E18" s="86">
        <f>IF($D17=0,0,E17/$D17)</f>
        <v/>
      </c>
      <c r="F18" s="86">
        <f>IF($D17=0,0,F17/$D17)</f>
        <v/>
      </c>
      <c r="G18" s="86">
        <f>IF($D17=0,0,G17/$D17)</f>
        <v/>
      </c>
      <c r="H18" s="86">
        <f>IF($D17=0,0,H17/$D17)</f>
        <v/>
      </c>
      <c r="I18" s="86">
        <f>IF($D17=0,0,I17/$D17)</f>
        <v/>
      </c>
      <c r="J18" s="60" t="n"/>
    </row>
    <row r="20" ht="19.2" customHeight="1" s="70">
      <c r="A20" s="74" t="inlineStr">
        <is>
          <t>3월 채용 현황</t>
        </is>
      </c>
    </row>
    <row r="21" ht="34.8" customHeight="1" s="70">
      <c r="A21" s="52" t="inlineStr">
        <is>
          <t>임대사</t>
        </is>
      </c>
      <c r="B21" s="52" t="inlineStr">
        <is>
          <t>원청사</t>
        </is>
      </c>
      <c r="C21" s="52" t="inlineStr">
        <is>
          <t>현장명</t>
        </is>
      </c>
      <c r="D21" s="52" t="inlineStr">
        <is>
          <t>총대수</t>
        </is>
      </c>
      <c r="E21" s="52" t="inlineStr">
        <is>
          <t>한노</t>
        </is>
      </c>
      <c r="F21" s="52" t="inlineStr">
        <is>
          <t>민노</t>
        </is>
      </c>
      <c r="G21" s="52" t="inlineStr">
        <is>
          <t>기타(건산섬유)</t>
        </is>
      </c>
      <c r="H21" s="52" t="inlineStr">
        <is>
          <t>직원</t>
        </is>
      </c>
      <c r="I21" s="52" t="inlineStr">
        <is>
          <t>미정</t>
        </is>
      </c>
      <c r="J21" s="52" t="inlineStr">
        <is>
          <t>비고</t>
        </is>
      </c>
    </row>
    <row r="22" ht="26.4" customHeight="1" s="70">
      <c r="A22" s="54" t="inlineStr">
        <is>
          <t>(주)우성건설기계</t>
        </is>
      </c>
      <c r="B22" s="54" t="inlineStr">
        <is>
          <t>(주)동원개발</t>
        </is>
      </c>
      <c r="C22" s="42" t="inlineStr">
        <is>
          <t>브레인시티비스타동원</t>
        </is>
      </c>
      <c r="D22" s="55" t="n">
        <v>6</v>
      </c>
      <c r="E22" s="55" t="n">
        <v>2</v>
      </c>
      <c r="F22" s="55" t="n">
        <v>3</v>
      </c>
      <c r="G22" s="55" t="n">
        <v>0</v>
      </c>
      <c r="H22" s="55" t="n">
        <v>1</v>
      </c>
      <c r="I22" s="55" t="n">
        <v>0</v>
      </c>
      <c r="J22" s="56" t="n"/>
    </row>
    <row r="23" ht="42" customHeight="1" s="70">
      <c r="A23" s="54" t="inlineStr">
        <is>
          <t>(주)한백산업</t>
        </is>
      </c>
      <c r="B23" s="53" t="inlineStr">
        <is>
          <t>디엘이앤씨(주)</t>
        </is>
      </c>
      <c r="C23" s="42" t="inlineStr">
        <is>
          <t>안양에버포레자연&amp;e편한세상</t>
        </is>
      </c>
      <c r="D23" s="55" t="n">
        <v>6</v>
      </c>
      <c r="E23" s="55" t="n">
        <v>2</v>
      </c>
      <c r="F23" s="55" t="n">
        <v>3</v>
      </c>
      <c r="G23" s="55" t="n">
        <v>0</v>
      </c>
      <c r="H23" s="55" t="n">
        <v>1</v>
      </c>
      <c r="I23" s="55" t="n">
        <v>0</v>
      </c>
      <c r="J23" s="56" t="n"/>
    </row>
    <row r="24" ht="26.4" customHeight="1" s="70">
      <c r="A24" s="54" t="inlineStr">
        <is>
          <t>(주)예림타워</t>
        </is>
      </c>
      <c r="B24" s="53" t="inlineStr">
        <is>
          <t>쌍용건설(주)</t>
        </is>
      </c>
      <c r="C24" s="42" t="inlineStr">
        <is>
          <t>더플래티넘파인애비뉴</t>
        </is>
      </c>
      <c r="D24" s="55" t="n">
        <v>7</v>
      </c>
      <c r="E24" s="55" t="n">
        <v>2</v>
      </c>
      <c r="F24" s="55" t="n">
        <v>3</v>
      </c>
      <c r="G24" s="55" t="n">
        <v>1</v>
      </c>
      <c r="H24" s="55" t="n">
        <v>1</v>
      </c>
      <c r="I24" s="55" t="n">
        <v>0</v>
      </c>
      <c r="J24" s="56" t="n"/>
    </row>
    <row r="25" ht="28.8" customHeight="1" s="70">
      <c r="A25" s="54" t="inlineStr">
        <is>
          <t>(주)우리기계산업</t>
        </is>
      </c>
      <c r="B25" s="53" t="inlineStr">
        <is>
          <t>강산건설(주)</t>
        </is>
      </c>
      <c r="C25" s="42" t="inlineStr">
        <is>
          <t>시화MTV 지하주차장</t>
        </is>
      </c>
      <c r="D25" s="55" t="n">
        <v>3</v>
      </c>
      <c r="E25" s="55" t="n">
        <v>1</v>
      </c>
      <c r="F25" s="55" t="n">
        <v>1</v>
      </c>
      <c r="G25" s="55" t="n">
        <v>1</v>
      </c>
      <c r="H25" s="55" t="n">
        <v>0</v>
      </c>
      <c r="I25" s="55" t="n">
        <v>0</v>
      </c>
      <c r="J25" s="56" t="n"/>
    </row>
    <row r="26" ht="52.8" customHeight="1" s="70">
      <c r="A26" s="54" t="inlineStr">
        <is>
          <t>(주)오성산업</t>
        </is>
      </c>
      <c r="B26" s="53" t="inlineStr">
        <is>
          <t>농심엔지니어링(주)</t>
        </is>
      </c>
      <c r="C26" s="42" t="inlineStr">
        <is>
          <t>안성 장계리 물류센터 신축현장</t>
        </is>
      </c>
      <c r="D26" s="55" t="n">
        <v>4</v>
      </c>
      <c r="E26" s="55" t="n">
        <v>1</v>
      </c>
      <c r="F26" s="55" t="n">
        <v>2</v>
      </c>
      <c r="G26" s="55" t="n">
        <v>0</v>
      </c>
      <c r="H26" s="55" t="n">
        <v>1</v>
      </c>
      <c r="I26" s="55" t="n">
        <v>0</v>
      </c>
      <c r="J26" s="56" t="n"/>
    </row>
    <row r="27" ht="26.4" customHeight="1" s="70">
      <c r="A27" s="53" t="inlineStr">
        <is>
          <t>주식회사 백산렌탈</t>
        </is>
      </c>
      <c r="B27" s="53" t="inlineStr">
        <is>
          <t>에이치엘디앤아이한라(주)</t>
        </is>
      </c>
      <c r="C27" s="42" t="inlineStr">
        <is>
          <t>복정역에피트</t>
        </is>
      </c>
      <c r="D27" s="55" t="n">
        <v>2</v>
      </c>
      <c r="E27" s="55" t="n">
        <v>1</v>
      </c>
      <c r="F27" s="55" t="n">
        <v>1</v>
      </c>
      <c r="G27" s="55" t="n">
        <v>0</v>
      </c>
      <c r="H27" s="55" t="n">
        <v>0</v>
      </c>
      <c r="I27" s="55" t="n">
        <v>0</v>
      </c>
      <c r="J27" s="56" t="n"/>
    </row>
    <row r="28">
      <c r="A28" s="75" t="inlineStr">
        <is>
          <t>합계</t>
        </is>
      </c>
      <c r="B28" s="84" t="n"/>
      <c r="C28" s="85" t="n"/>
      <c r="D28" s="57">
        <f>SUM(D22:D27)</f>
        <v/>
      </c>
      <c r="E28" s="57">
        <f>SUM(E22:E27)</f>
        <v/>
      </c>
      <c r="F28" s="57">
        <f>SUM(F22:F27)</f>
        <v/>
      </c>
      <c r="G28" s="57">
        <f>SUM(G22:G27)</f>
        <v/>
      </c>
      <c r="H28" s="57">
        <f>SUM(H22:H27)</f>
        <v/>
      </c>
      <c r="I28" s="57">
        <f>SUM(I22:I27)</f>
        <v/>
      </c>
      <c r="J28" s="58" t="n"/>
    </row>
    <row r="29">
      <c r="A29" s="73" t="inlineStr">
        <is>
          <t>비율 (총대수=100%)</t>
        </is>
      </c>
      <c r="B29" s="84" t="n"/>
      <c r="C29" s="85" t="n"/>
      <c r="D29" s="86">
        <f>IF($D28=0,0,D28/$D28)</f>
        <v/>
      </c>
      <c r="E29" s="86">
        <f>IF($D28=0,0,E28/$D28)</f>
        <v/>
      </c>
      <c r="F29" s="86">
        <f>IF($D28=0,0,F28/$D28)</f>
        <v/>
      </c>
      <c r="G29" s="86">
        <f>IF($D28=0,0,G28/$D28)</f>
        <v/>
      </c>
      <c r="H29" s="86">
        <f>IF($D28=0,0,H28/$D28)</f>
        <v/>
      </c>
      <c r="I29" s="86">
        <f>IF($D28=0,0,I28/$D28)</f>
        <v/>
      </c>
      <c r="J29" s="60" t="n"/>
    </row>
    <row r="31" ht="19.2" customHeight="1" s="70">
      <c r="A31" s="74" t="inlineStr">
        <is>
          <t>4월 채용 현황</t>
        </is>
      </c>
    </row>
    <row r="32" ht="34.8" customHeight="1" s="70">
      <c r="A32" s="52" t="inlineStr">
        <is>
          <t>임대사</t>
        </is>
      </c>
      <c r="B32" s="52" t="inlineStr">
        <is>
          <t>원청사</t>
        </is>
      </c>
      <c r="C32" s="52" t="inlineStr">
        <is>
          <t>현장명</t>
        </is>
      </c>
      <c r="D32" s="52" t="inlineStr">
        <is>
          <t>총대수</t>
        </is>
      </c>
      <c r="E32" s="52" t="inlineStr">
        <is>
          <t>한노</t>
        </is>
      </c>
      <c r="F32" s="52" t="inlineStr">
        <is>
          <t>민노</t>
        </is>
      </c>
      <c r="G32" s="52" t="inlineStr">
        <is>
          <t>기타(건산섬유)</t>
        </is>
      </c>
      <c r="H32" s="52" t="inlineStr">
        <is>
          <t>직원</t>
        </is>
      </c>
      <c r="I32" s="52" t="inlineStr">
        <is>
          <t>미정</t>
        </is>
      </c>
      <c r="J32" s="52" t="inlineStr">
        <is>
          <t>비고</t>
        </is>
      </c>
    </row>
    <row r="33" ht="28.8" customHeight="1" s="70">
      <c r="A33" s="54" t="inlineStr">
        <is>
          <t>(주)썬타워</t>
        </is>
      </c>
      <c r="B33" s="54" t="inlineStr">
        <is>
          <t>(주)대우건설</t>
        </is>
      </c>
      <c r="C33" s="42" t="inlineStr">
        <is>
          <t>평택고덕A-56BL</t>
        </is>
      </c>
      <c r="D33" s="55" t="n">
        <v>4</v>
      </c>
      <c r="E33" s="55" t="n">
        <v>1</v>
      </c>
      <c r="F33" s="55" t="n">
        <v>2</v>
      </c>
      <c r="G33" s="55" t="n">
        <v>1</v>
      </c>
      <c r="H33" s="55" t="n">
        <v>0</v>
      </c>
      <c r="I33" s="55" t="n">
        <v>0</v>
      </c>
      <c r="J33" s="56" t="n"/>
    </row>
    <row r="34" ht="39.6" customHeight="1" s="70">
      <c r="A34" s="54" t="inlineStr">
        <is>
          <t>(주)동양타워엔지니어링</t>
        </is>
      </c>
      <c r="B34" s="54" t="inlineStr">
        <is>
          <t>(주)대우건설</t>
        </is>
      </c>
      <c r="C34" s="42" t="inlineStr">
        <is>
          <t>동탄포레파크자연앤푸르지오</t>
        </is>
      </c>
      <c r="D34" s="55" t="n">
        <v>5</v>
      </c>
      <c r="E34" s="55" t="n">
        <v>1</v>
      </c>
      <c r="F34" s="55" t="n">
        <v>2</v>
      </c>
      <c r="G34" s="55" t="n">
        <v>1</v>
      </c>
      <c r="H34" s="55" t="n">
        <v>1</v>
      </c>
      <c r="I34" s="55" t="n">
        <v>0</v>
      </c>
      <c r="J34" s="56" t="n"/>
    </row>
    <row r="35" ht="42" customHeight="1" s="70">
      <c r="A35" s="54" t="inlineStr">
        <is>
          <t>(주)한백산업</t>
        </is>
      </c>
      <c r="B35" s="53" t="inlineStr">
        <is>
          <t>에스지씨이앤씨(주)</t>
        </is>
      </c>
      <c r="C35" s="42" t="inlineStr">
        <is>
          <t>군포대야미A-2BL신혼희망타운</t>
        </is>
      </c>
      <c r="D35" s="55" t="n">
        <v>7</v>
      </c>
      <c r="E35" s="55" t="n">
        <v>2</v>
      </c>
      <c r="F35" s="55" t="n">
        <v>3</v>
      </c>
      <c r="G35" s="55" t="n">
        <v>1</v>
      </c>
      <c r="H35" s="55" t="n">
        <v>1</v>
      </c>
      <c r="I35" s="55" t="n">
        <v>0</v>
      </c>
      <c r="J35" s="56" t="n"/>
    </row>
    <row r="36" ht="39.6" customHeight="1" s="70">
      <c r="A36" s="53" t="inlineStr">
        <is>
          <t>정호개발주식회사</t>
        </is>
      </c>
      <c r="B36" s="53" t="inlineStr">
        <is>
          <t>삼성물산(주)</t>
        </is>
      </c>
      <c r="C36" s="42" t="inlineStr">
        <is>
          <t>안산 글로벌클라우드 센터</t>
        </is>
      </c>
      <c r="D36" s="55" t="n">
        <v>2</v>
      </c>
      <c r="E36" s="55" t="n">
        <v>1</v>
      </c>
      <c r="F36" s="55" t="n">
        <v>1</v>
      </c>
      <c r="G36" s="55" t="n">
        <v>0</v>
      </c>
      <c r="H36" s="55" t="n">
        <v>0</v>
      </c>
      <c r="I36" s="55" t="n">
        <v>0</v>
      </c>
      <c r="J36" s="56" t="n"/>
    </row>
    <row r="37" ht="28.8" customHeight="1" s="70">
      <c r="A37" s="53" t="inlineStr">
        <is>
          <t>주식회사 한산타워</t>
        </is>
      </c>
      <c r="B37" s="53" t="inlineStr">
        <is>
          <t>현대건설(주)</t>
        </is>
      </c>
      <c r="C37" s="42" t="inlineStr">
        <is>
          <t>프로젝트 TIMBUKTU</t>
        </is>
      </c>
      <c r="D37" s="55" t="n">
        <v>2</v>
      </c>
      <c r="E37" s="55" t="n">
        <v>1</v>
      </c>
      <c r="F37" s="55" t="n">
        <v>1</v>
      </c>
      <c r="G37" s="55" t="n">
        <v>0</v>
      </c>
      <c r="H37" s="55" t="n">
        <v>0</v>
      </c>
      <c r="I37" s="55" t="n">
        <v>0</v>
      </c>
      <c r="J37" s="56" t="n"/>
    </row>
    <row r="38" ht="28.8" customHeight="1" s="70">
      <c r="A38" s="53" t="inlineStr">
        <is>
          <t>주식회사 한산타워</t>
        </is>
      </c>
      <c r="B38" s="54" t="inlineStr">
        <is>
          <t>(주)대우건설</t>
        </is>
      </c>
      <c r="C38" s="42" t="inlineStr">
        <is>
          <t>평택고덕A-56BL</t>
        </is>
      </c>
      <c r="D38" s="55" t="n">
        <v>4</v>
      </c>
      <c r="E38" s="55" t="n">
        <v>1</v>
      </c>
      <c r="F38" s="55" t="n">
        <v>2</v>
      </c>
      <c r="G38" s="55" t="n">
        <v>0</v>
      </c>
      <c r="H38" s="55" t="n">
        <v>1</v>
      </c>
      <c r="I38" s="55" t="n">
        <v>0</v>
      </c>
      <c r="J38" s="56" t="n"/>
    </row>
    <row r="39" ht="66" customHeight="1" s="70">
      <c r="A39" s="53" t="inlineStr">
        <is>
          <t>주식회사 현성건설</t>
        </is>
      </c>
      <c r="B39" s="54" t="inlineStr">
        <is>
          <t>(주)한양</t>
        </is>
      </c>
      <c r="C39" s="42" t="inlineStr">
        <is>
          <t>이천시 대월지역주택조합 아파트 신축공사</t>
        </is>
      </c>
      <c r="D39" s="55" t="n">
        <v>4</v>
      </c>
      <c r="E39" s="55" t="n">
        <v>1</v>
      </c>
      <c r="F39" s="55" t="n">
        <v>2</v>
      </c>
      <c r="G39" s="55" t="n">
        <v>0</v>
      </c>
      <c r="H39" s="55" t="n">
        <v>1</v>
      </c>
      <c r="I39" s="55" t="n">
        <v>0</v>
      </c>
      <c r="J39" s="56" t="n"/>
    </row>
    <row r="40">
      <c r="A40" s="75" t="inlineStr">
        <is>
          <t>합계</t>
        </is>
      </c>
      <c r="B40" s="84" t="n"/>
      <c r="C40" s="85" t="n"/>
      <c r="D40" s="57">
        <f>SUM(D33:D39)</f>
        <v/>
      </c>
      <c r="E40" s="57">
        <f>SUM(E33:E39)</f>
        <v/>
      </c>
      <c r="F40" s="57">
        <f>SUM(F33:F39)</f>
        <v/>
      </c>
      <c r="G40" s="57">
        <f>SUM(G33:G39)</f>
        <v/>
      </c>
      <c r="H40" s="57">
        <f>SUM(H33:H39)</f>
        <v/>
      </c>
      <c r="I40" s="57">
        <f>SUM(I33:I39)</f>
        <v/>
      </c>
      <c r="J40" s="58" t="n"/>
    </row>
    <row r="41">
      <c r="A41" s="73" t="inlineStr">
        <is>
          <t>비율 (총대수=100%)</t>
        </is>
      </c>
      <c r="B41" s="84" t="n"/>
      <c r="C41" s="85" t="n"/>
      <c r="D41" s="86">
        <f>IF($D40=0,0,D40/$D40)</f>
        <v/>
      </c>
      <c r="E41" s="86">
        <f>IF($D40=0,0,E40/$D40)</f>
        <v/>
      </c>
      <c r="F41" s="86">
        <f>IF($D40=0,0,F40/$D40)</f>
        <v/>
      </c>
      <c r="G41" s="86">
        <f>IF($D40=0,0,G40/$D40)</f>
        <v/>
      </c>
      <c r="H41" s="86">
        <f>IF($D40=0,0,H40/$D40)</f>
        <v/>
      </c>
      <c r="I41" s="86">
        <f>IF($D40=0,0,I40/$D40)</f>
        <v/>
      </c>
      <c r="J41" s="60" t="n"/>
    </row>
    <row r="43" ht="19.2" customHeight="1" s="70">
      <c r="A43" s="74" t="inlineStr">
        <is>
          <t>5월 채용 현황</t>
        </is>
      </c>
    </row>
    <row r="44" ht="34.8" customHeight="1" s="70">
      <c r="A44" s="52" t="inlineStr">
        <is>
          <t>임대사</t>
        </is>
      </c>
      <c r="B44" s="52" t="inlineStr">
        <is>
          <t>원청사</t>
        </is>
      </c>
      <c r="C44" s="52" t="inlineStr">
        <is>
          <t>현장명</t>
        </is>
      </c>
      <c r="D44" s="52" t="inlineStr">
        <is>
          <t>총대수</t>
        </is>
      </c>
      <c r="E44" s="52" t="inlineStr">
        <is>
          <t>한노</t>
        </is>
      </c>
      <c r="F44" s="52" t="inlineStr">
        <is>
          <t>민노</t>
        </is>
      </c>
      <c r="G44" s="52" t="inlineStr">
        <is>
          <t>기타(건산섬유)</t>
        </is>
      </c>
      <c r="H44" s="52" t="inlineStr">
        <is>
          <t>직원</t>
        </is>
      </c>
      <c r="I44" s="52" t="inlineStr">
        <is>
          <t>미정</t>
        </is>
      </c>
      <c r="J44" s="52" t="inlineStr">
        <is>
          <t>비고</t>
        </is>
      </c>
    </row>
    <row r="45" ht="42" customHeight="1" s="70">
      <c r="A45" s="53" t="inlineStr">
        <is>
          <t>벽산중기산업주식회사</t>
        </is>
      </c>
      <c r="B45" s="53" t="inlineStr">
        <is>
          <t>에이치엘디앤아이한라(주)</t>
        </is>
      </c>
      <c r="C45" s="42" t="inlineStr">
        <is>
          <t>서수원에피트센트럴마크M2블록</t>
        </is>
      </c>
      <c r="D45" s="55" t="n">
        <v>4</v>
      </c>
      <c r="E45" s="55" t="n">
        <v>1</v>
      </c>
      <c r="F45" s="55" t="n">
        <v>2</v>
      </c>
      <c r="G45" s="55" t="n">
        <v>1</v>
      </c>
      <c r="H45" s="55" t="n">
        <v>0</v>
      </c>
      <c r="I45" s="55" t="n">
        <v>0</v>
      </c>
      <c r="J45" s="56" t="n"/>
    </row>
    <row r="46" ht="42" customHeight="1" s="70">
      <c r="A46" s="53" t="inlineStr">
        <is>
          <t>주식회사 화성건기</t>
        </is>
      </c>
      <c r="B46" s="53" t="inlineStr">
        <is>
          <t>계룡건설산업(주)</t>
        </is>
      </c>
      <c r="C46" s="42" t="inlineStr">
        <is>
          <t>엘리프한신더휴수원C3블록</t>
        </is>
      </c>
      <c r="D46" s="55" t="n">
        <v>4</v>
      </c>
      <c r="E46" s="55" t="n">
        <v>1</v>
      </c>
      <c r="F46" s="55" t="n">
        <v>1</v>
      </c>
      <c r="G46" s="55" t="n">
        <v>0</v>
      </c>
      <c r="H46" s="55" t="n">
        <v>2</v>
      </c>
      <c r="I46" s="55" t="n">
        <v>0</v>
      </c>
      <c r="J46" s="56" t="n"/>
    </row>
    <row r="47" ht="42" customHeight="1" s="70">
      <c r="A47" s="54" t="inlineStr">
        <is>
          <t>(주)한백산업</t>
        </is>
      </c>
      <c r="B47" s="53" t="inlineStr">
        <is>
          <t>디엘이앤씨(주)</t>
        </is>
      </c>
      <c r="C47" s="42" t="inlineStr">
        <is>
          <t>안양에버포레자연&amp;e편한세상</t>
        </is>
      </c>
      <c r="D47" s="55" t="n">
        <v>6</v>
      </c>
      <c r="E47" s="55" t="n">
        <v>2</v>
      </c>
      <c r="F47" s="55" t="n">
        <v>3</v>
      </c>
      <c r="G47" s="55" t="n">
        <v>0</v>
      </c>
      <c r="H47" s="55" t="n">
        <v>1</v>
      </c>
      <c r="I47" s="55" t="n">
        <v>0</v>
      </c>
      <c r="J47" s="56" t="n"/>
    </row>
    <row r="48" ht="42" customHeight="1" s="70">
      <c r="A48" s="53" t="inlineStr">
        <is>
          <t>주식회사월드타워</t>
        </is>
      </c>
      <c r="B48" s="53" t="inlineStr">
        <is>
          <t>한신공영(주)</t>
        </is>
      </c>
      <c r="C48" s="42" t="inlineStr">
        <is>
          <t>엘리프한신더휴수원D3블록</t>
        </is>
      </c>
      <c r="D48" s="55" t="n">
        <v>5</v>
      </c>
      <c r="E48" s="55" t="n">
        <v>1</v>
      </c>
      <c r="F48" s="55" t="n">
        <v>2</v>
      </c>
      <c r="G48" s="55" t="n">
        <v>0</v>
      </c>
      <c r="H48" s="55" t="n">
        <v>2</v>
      </c>
      <c r="I48" s="55" t="n">
        <v>0</v>
      </c>
      <c r="J48" s="56" t="n"/>
    </row>
    <row r="49">
      <c r="A49" s="75" t="inlineStr">
        <is>
          <t>합계</t>
        </is>
      </c>
      <c r="B49" s="84" t="n"/>
      <c r="C49" s="85" t="n"/>
      <c r="D49" s="57">
        <f>SUM(D45:D48)</f>
        <v/>
      </c>
      <c r="E49" s="57">
        <f>SUM(E45:E48)</f>
        <v/>
      </c>
      <c r="F49" s="57">
        <f>SUM(F45:F48)</f>
        <v/>
      </c>
      <c r="G49" s="57">
        <f>SUM(G45:G48)</f>
        <v/>
      </c>
      <c r="H49" s="57">
        <f>SUM(H45:H48)</f>
        <v/>
      </c>
      <c r="I49" s="57">
        <f>SUM(I45:I48)</f>
        <v/>
      </c>
      <c r="J49" s="58" t="n"/>
    </row>
    <row r="50">
      <c r="A50" s="73" t="inlineStr">
        <is>
          <t>비율 (총대수=100%)</t>
        </is>
      </c>
      <c r="B50" s="84" t="n"/>
      <c r="C50" s="85" t="n"/>
      <c r="D50" s="86">
        <f>IF($D49=0,0,D49/$D49)</f>
        <v/>
      </c>
      <c r="E50" s="86">
        <f>IF($D49=0,0,E49/$D49)</f>
        <v/>
      </c>
      <c r="F50" s="86">
        <f>IF($D49=0,0,F49/$D49)</f>
        <v/>
      </c>
      <c r="G50" s="86">
        <f>IF($D49=0,0,G49/$D49)</f>
        <v/>
      </c>
      <c r="H50" s="86">
        <f>IF($D49=0,0,H49/$D49)</f>
        <v/>
      </c>
      <c r="I50" s="86">
        <f>IF($D49=0,0,I49/$D49)</f>
        <v/>
      </c>
      <c r="J50" s="60" t="n"/>
    </row>
    <row r="52" ht="19.2" customHeight="1" s="70">
      <c r="A52" s="74" t="inlineStr">
        <is>
          <t>6월 채용 현황</t>
        </is>
      </c>
    </row>
    <row r="53" ht="34.8" customHeight="1" s="70">
      <c r="A53" s="52" t="inlineStr">
        <is>
          <t>임대사</t>
        </is>
      </c>
      <c r="B53" s="52" t="inlineStr">
        <is>
          <t>원청사</t>
        </is>
      </c>
      <c r="C53" s="52" t="inlineStr">
        <is>
          <t>현장명</t>
        </is>
      </c>
      <c r="D53" s="52" t="inlineStr">
        <is>
          <t>총대수</t>
        </is>
      </c>
      <c r="E53" s="52" t="inlineStr">
        <is>
          <t>한노</t>
        </is>
      </c>
      <c r="F53" s="52" t="inlineStr">
        <is>
          <t>민노</t>
        </is>
      </c>
      <c r="G53" s="52" t="inlineStr">
        <is>
          <t>기타(건산섬유)</t>
        </is>
      </c>
      <c r="H53" s="52" t="inlineStr">
        <is>
          <t>직원</t>
        </is>
      </c>
      <c r="I53" s="52" t="inlineStr">
        <is>
          <t>미정</t>
        </is>
      </c>
      <c r="J53" s="52" t="inlineStr">
        <is>
          <t>비고</t>
        </is>
      </c>
    </row>
    <row r="54" ht="55.2" customHeight="1" s="70">
      <c r="A54" s="54" t="inlineStr">
        <is>
          <t>(주)신화중공업</t>
        </is>
      </c>
      <c r="B54" s="53" t="inlineStr">
        <is>
          <t>한신공영(주)</t>
        </is>
      </c>
      <c r="C54" s="42" t="inlineStr">
        <is>
          <t>시흥하중지구A4블록신혼희망타운</t>
        </is>
      </c>
      <c r="D54" s="55" t="n">
        <v>4</v>
      </c>
      <c r="E54" s="55" t="n">
        <v>1</v>
      </c>
      <c r="F54" s="55" t="n">
        <v>1</v>
      </c>
      <c r="G54" s="55" t="n">
        <v>0</v>
      </c>
      <c r="H54" s="55" t="n">
        <v>2</v>
      </c>
      <c r="I54" s="55" t="n">
        <v>0</v>
      </c>
      <c r="J54" s="56" t="n"/>
    </row>
    <row r="55" ht="26.4" customHeight="1" s="70">
      <c r="A55" s="54" t="inlineStr">
        <is>
          <t>(주)우성건설기계</t>
        </is>
      </c>
      <c r="B55" s="54" t="inlineStr">
        <is>
          <t>(주)동원개발</t>
        </is>
      </c>
      <c r="C55" s="42" t="inlineStr">
        <is>
          <t>브레인시티비스타동원</t>
        </is>
      </c>
      <c r="D55" s="55" t="n">
        <v>6</v>
      </c>
      <c r="E55" s="55" t="n">
        <v>2</v>
      </c>
      <c r="F55" s="55" t="n">
        <v>3</v>
      </c>
      <c r="G55" s="55" t="n">
        <v>0</v>
      </c>
      <c r="H55" s="55" t="n">
        <v>1</v>
      </c>
      <c r="I55" s="55" t="n">
        <v>0</v>
      </c>
      <c r="J55" s="56" t="n"/>
    </row>
    <row r="56">
      <c r="A56" s="53" t="inlineStr">
        <is>
          <t>주식회사 가람타워</t>
        </is>
      </c>
      <c r="B56" s="54" t="inlineStr">
        <is>
          <t>(주)보미건설</t>
        </is>
      </c>
      <c r="C56" s="42" t="inlineStr">
        <is>
          <t>더샘병원</t>
        </is>
      </c>
      <c r="D56" s="55" t="n">
        <v>1</v>
      </c>
      <c r="E56" s="55" t="n">
        <v>1</v>
      </c>
      <c r="F56" s="55" t="n">
        <v>0</v>
      </c>
      <c r="G56" s="55" t="n">
        <v>0</v>
      </c>
      <c r="H56" s="55" t="n">
        <v>0</v>
      </c>
      <c r="I56" s="55" t="n">
        <v>0</v>
      </c>
      <c r="J56" s="56" t="n"/>
    </row>
    <row r="57" ht="26.4" customHeight="1" s="70">
      <c r="A57" s="54" t="inlineStr">
        <is>
          <t>(주)야후건기</t>
        </is>
      </c>
      <c r="B57" s="53" t="inlineStr">
        <is>
          <t>두산건설(주)</t>
        </is>
      </c>
      <c r="C57" s="42" t="inlineStr">
        <is>
          <t>두산위브더센트럴수원</t>
        </is>
      </c>
      <c r="D57" s="55" t="n">
        <v>3</v>
      </c>
      <c r="E57" s="55" t="n">
        <v>1</v>
      </c>
      <c r="F57" s="55" t="n">
        <v>1</v>
      </c>
      <c r="G57" s="55" t="n">
        <v>0</v>
      </c>
      <c r="H57" s="55" t="n">
        <v>1</v>
      </c>
      <c r="I57" s="55" t="n">
        <v>0</v>
      </c>
      <c r="J57" s="56" t="n"/>
    </row>
    <row r="58" ht="39.6" customHeight="1" s="70">
      <c r="A58" s="53" t="inlineStr">
        <is>
          <t>주식회사 우정타워</t>
        </is>
      </c>
      <c r="B58" s="54" t="inlineStr">
        <is>
          <t>(주)그린시티건설</t>
        </is>
      </c>
      <c r="C58" s="42" t="inlineStr">
        <is>
          <t>의왕청계역시티프라디움하모니아</t>
        </is>
      </c>
      <c r="D58" s="55" t="n">
        <v>2</v>
      </c>
      <c r="E58" s="55" t="n">
        <v>1</v>
      </c>
      <c r="F58" s="55" t="n">
        <v>1</v>
      </c>
      <c r="G58" s="55" t="n">
        <v>0</v>
      </c>
      <c r="H58" s="55" t="n">
        <v>0</v>
      </c>
      <c r="I58" s="55" t="n">
        <v>0</v>
      </c>
      <c r="J58" s="56" t="n"/>
    </row>
    <row r="59" ht="39.6" customHeight="1" s="70">
      <c r="A59" s="53" t="inlineStr">
        <is>
          <t>주식회사 비엠케이</t>
        </is>
      </c>
      <c r="B59" s="53" t="inlineStr">
        <is>
          <t>에스엠스틸(주) 건설부문</t>
        </is>
      </c>
      <c r="C59" s="42" t="inlineStr">
        <is>
          <t>클러스터용인경남아너스빌</t>
        </is>
      </c>
      <c r="D59" s="55" t="n">
        <v>4</v>
      </c>
      <c r="E59" s="55" t="n">
        <v>2</v>
      </c>
      <c r="F59" s="55" t="n">
        <v>1</v>
      </c>
      <c r="G59" s="55" t="n">
        <v>1</v>
      </c>
      <c r="H59" s="55" t="n">
        <v>0</v>
      </c>
      <c r="I59" s="55" t="n">
        <v>0</v>
      </c>
      <c r="J59" s="56" t="n"/>
    </row>
    <row r="60" ht="42" customHeight="1" s="70">
      <c r="A60" s="54" t="inlineStr">
        <is>
          <t>(주)한백산업</t>
        </is>
      </c>
      <c r="B60" s="53" t="inlineStr">
        <is>
          <t>에스지씨이앤씨(주)</t>
        </is>
      </c>
      <c r="C60" s="42" t="inlineStr">
        <is>
          <t>군포대야미A-2BL신혼희망타운</t>
        </is>
      </c>
      <c r="D60" s="55" t="n">
        <v>7</v>
      </c>
      <c r="E60" s="55" t="n">
        <v>2</v>
      </c>
      <c r="F60" s="55" t="n">
        <v>3</v>
      </c>
      <c r="G60" s="55" t="n">
        <v>1</v>
      </c>
      <c r="H60" s="55" t="n">
        <v>1</v>
      </c>
      <c r="I60" s="55" t="n">
        <v>0</v>
      </c>
      <c r="J60" s="56" t="n"/>
    </row>
    <row r="61" ht="39.6" customHeight="1" s="70">
      <c r="A61" s="54" t="inlineStr">
        <is>
          <t>(주)규람타워렌탈</t>
        </is>
      </c>
      <c r="B61" s="54" t="inlineStr">
        <is>
          <t>(주)대우건설</t>
        </is>
      </c>
      <c r="C61" s="42" t="inlineStr">
        <is>
          <t>용인푸르지오원클러스터파크</t>
        </is>
      </c>
      <c r="D61" s="55" t="n">
        <v>4</v>
      </c>
      <c r="E61" s="55" t="n">
        <v>1</v>
      </c>
      <c r="F61" s="55" t="n">
        <v>2</v>
      </c>
      <c r="G61" s="55" t="n">
        <v>0</v>
      </c>
      <c r="H61" s="55" t="n">
        <v>1</v>
      </c>
      <c r="I61" s="55" t="n">
        <v>0</v>
      </c>
      <c r="J61" s="56" t="n"/>
    </row>
    <row r="62" ht="28.8" customHeight="1" s="70">
      <c r="A62" s="53" t="inlineStr">
        <is>
          <t>주식회사 비엠케이</t>
        </is>
      </c>
      <c r="B62" s="54" t="inlineStr">
        <is>
          <t>(주)태왕이앤씨</t>
        </is>
      </c>
      <c r="C62" s="42" t="inlineStr">
        <is>
          <t>과천주암C1블록</t>
        </is>
      </c>
      <c r="D62" s="55" t="n">
        <v>6</v>
      </c>
      <c r="E62" s="55" t="n">
        <v>1</v>
      </c>
      <c r="F62" s="55" t="n">
        <v>2</v>
      </c>
      <c r="G62" s="55" t="n">
        <v>2</v>
      </c>
      <c r="H62" s="55" t="n">
        <v>1</v>
      </c>
      <c r="I62" s="55" t="n">
        <v>0</v>
      </c>
      <c r="J62" s="56" t="n"/>
    </row>
    <row r="63" ht="42" customHeight="1" s="70">
      <c r="A63" s="53" t="inlineStr">
        <is>
          <t>벽산중기산업주식회사</t>
        </is>
      </c>
      <c r="B63" s="53" t="inlineStr">
        <is>
          <t>디엘이앤씨(주)</t>
        </is>
      </c>
      <c r="C63" s="42" t="inlineStr">
        <is>
          <t>안양에버포레자연&amp;e편한세상</t>
        </is>
      </c>
      <c r="D63" s="55" t="n">
        <v>2</v>
      </c>
      <c r="E63" s="55" t="n">
        <v>1</v>
      </c>
      <c r="F63" s="55" t="n">
        <v>1</v>
      </c>
      <c r="G63" s="55" t="n">
        <v>0</v>
      </c>
      <c r="H63" s="55" t="n">
        <v>0</v>
      </c>
      <c r="I63" s="55" t="n">
        <v>0</v>
      </c>
      <c r="J63" s="56" t="n"/>
    </row>
    <row r="64" ht="28.8" customHeight="1" s="70">
      <c r="A64" s="53" t="inlineStr">
        <is>
          <t>국제산업렌탈(주)</t>
        </is>
      </c>
      <c r="B64" s="54" t="inlineStr">
        <is>
          <t>(주)한토건설</t>
        </is>
      </c>
      <c r="C64" s="42" t="inlineStr">
        <is>
          <t>동탄그웬160</t>
        </is>
      </c>
      <c r="D64" s="55" t="n">
        <v>3</v>
      </c>
      <c r="E64" s="55" t="n">
        <v>1</v>
      </c>
      <c r="F64" s="55" t="n">
        <v>1</v>
      </c>
      <c r="G64" s="55" t="n">
        <v>0</v>
      </c>
      <c r="H64" s="55" t="n">
        <v>1</v>
      </c>
      <c r="I64" s="55" t="n">
        <v>0</v>
      </c>
      <c r="J64" s="56" t="n"/>
    </row>
    <row r="65" ht="26.4" customHeight="1" s="70">
      <c r="A65" s="54" t="inlineStr">
        <is>
          <t>(주)탑랜드타워</t>
        </is>
      </c>
      <c r="B65" s="53" t="inlineStr">
        <is>
          <t>금호건설(주)</t>
        </is>
      </c>
      <c r="C65" s="42" t="inlineStr">
        <is>
          <t>고덕신도시아테라</t>
        </is>
      </c>
      <c r="D65" s="55" t="n">
        <v>4</v>
      </c>
      <c r="E65" s="55" t="n">
        <v>1</v>
      </c>
      <c r="F65" s="55" t="n">
        <v>2</v>
      </c>
      <c r="G65" s="55" t="n">
        <v>0</v>
      </c>
      <c r="H65" s="55" t="n">
        <v>1</v>
      </c>
      <c r="I65" s="55" t="n">
        <v>0</v>
      </c>
      <c r="J65" s="56" t="n"/>
    </row>
    <row r="66">
      <c r="A66" s="75" t="inlineStr">
        <is>
          <t>합계</t>
        </is>
      </c>
      <c r="B66" s="84" t="n"/>
      <c r="C66" s="85" t="n"/>
      <c r="D66" s="57">
        <f>SUM(D54:D65)</f>
        <v/>
      </c>
      <c r="E66" s="57">
        <f>SUM(E54:E65)</f>
        <v/>
      </c>
      <c r="F66" s="57">
        <f>SUM(F54:F65)</f>
        <v/>
      </c>
      <c r="G66" s="57">
        <f>SUM(G54:G65)</f>
        <v/>
      </c>
      <c r="H66" s="57">
        <f>SUM(H54:H65)</f>
        <v/>
      </c>
      <c r="I66" s="57">
        <f>SUM(I54:I65)</f>
        <v/>
      </c>
      <c r="J66" s="58" t="n"/>
    </row>
    <row r="67">
      <c r="A67" s="73" t="inlineStr">
        <is>
          <t>비율 (총대수=100%)</t>
        </is>
      </c>
      <c r="B67" s="84" t="n"/>
      <c r="C67" s="85" t="n"/>
      <c r="D67" s="86">
        <f>IF($D66=0,0,D66/$D66)</f>
        <v/>
      </c>
      <c r="E67" s="86">
        <f>IF($D66=0,0,E66/$D66)</f>
        <v/>
      </c>
      <c r="F67" s="86">
        <f>IF($D66=0,0,F66/$D66)</f>
        <v/>
      </c>
      <c r="G67" s="86">
        <f>IF($D66=0,0,G66/$D66)</f>
        <v/>
      </c>
      <c r="H67" s="86">
        <f>IF($D66=0,0,H66/$D66)</f>
        <v/>
      </c>
      <c r="I67" s="86">
        <f>IF($D66=0,0,I66/$D66)</f>
        <v/>
      </c>
      <c r="J67" s="60" t="n"/>
    </row>
    <row r="69" ht="19.2" customHeight="1" s="70">
      <c r="A69" s="74" t="inlineStr">
        <is>
          <t>7월 채용 현황</t>
        </is>
      </c>
    </row>
    <row r="70" ht="34.8" customHeight="1" s="70">
      <c r="A70" s="52" t="inlineStr">
        <is>
          <t>임대사</t>
        </is>
      </c>
      <c r="B70" s="52" t="inlineStr">
        <is>
          <t>원청사</t>
        </is>
      </c>
      <c r="C70" s="52" t="inlineStr">
        <is>
          <t>현장명</t>
        </is>
      </c>
      <c r="D70" s="52" t="inlineStr">
        <is>
          <t>총대수</t>
        </is>
      </c>
      <c r="E70" s="52" t="inlineStr">
        <is>
          <t>한노</t>
        </is>
      </c>
      <c r="F70" s="52" t="inlineStr">
        <is>
          <t>민노</t>
        </is>
      </c>
      <c r="G70" s="52" t="inlineStr">
        <is>
          <t>기타(건산섬유)</t>
        </is>
      </c>
      <c r="H70" s="52" t="inlineStr">
        <is>
          <t>직원</t>
        </is>
      </c>
      <c r="I70" s="52" t="inlineStr">
        <is>
          <t>미정</t>
        </is>
      </c>
      <c r="J70" s="52" t="inlineStr">
        <is>
          <t>비고</t>
        </is>
      </c>
    </row>
    <row r="71" ht="39.6" customHeight="1" s="70">
      <c r="A71" s="53" t="inlineStr">
        <is>
          <t>뉴월드타워 주식회사</t>
        </is>
      </c>
      <c r="B71" s="53" t="inlineStr">
        <is>
          <t>우미건설(주)</t>
        </is>
      </c>
      <c r="C71" s="42" t="inlineStr">
        <is>
          <t>오산세교우미린레이크시티</t>
        </is>
      </c>
      <c r="D71" s="55" t="n">
        <v>2</v>
      </c>
      <c r="E71" s="55" t="n">
        <v>1</v>
      </c>
      <c r="F71" s="55" t="n">
        <v>1</v>
      </c>
      <c r="G71" s="55" t="n">
        <v>0</v>
      </c>
      <c r="H71" s="55" t="n">
        <v>0</v>
      </c>
      <c r="I71" s="55" t="n">
        <v>0</v>
      </c>
      <c r="J71" s="56" t="n"/>
    </row>
    <row r="72" ht="26.4" customHeight="1" s="70">
      <c r="A72" s="53" t="inlineStr">
        <is>
          <t>벽산중기산업주식회사</t>
        </is>
      </c>
      <c r="B72" s="54" t="inlineStr">
        <is>
          <t>(주)대우건설</t>
        </is>
      </c>
      <c r="C72" s="42" t="inlineStr">
        <is>
          <t>용인푸르지오클루센트</t>
        </is>
      </c>
      <c r="D72" s="55" t="n">
        <v>4</v>
      </c>
      <c r="E72" s="55" t="n">
        <v>2</v>
      </c>
      <c r="F72" s="55" t="n">
        <v>2</v>
      </c>
      <c r="G72" s="55" t="n">
        <v>0</v>
      </c>
      <c r="H72" s="55" t="n">
        <v>0</v>
      </c>
      <c r="I72" s="55" t="n">
        <v>0</v>
      </c>
      <c r="J72" s="56" t="n"/>
    </row>
    <row r="73" ht="26.4" customHeight="1" s="70">
      <c r="A73" s="53" t="inlineStr">
        <is>
          <t>㈜유건설 단종계약</t>
        </is>
      </c>
      <c r="B73" s="53" t="inlineStr">
        <is>
          <t>혜우이엔씨㈜</t>
        </is>
      </c>
      <c r="C73" s="42" t="inlineStr">
        <is>
          <t>관양동주상복합</t>
        </is>
      </c>
      <c r="D73" s="55" t="n">
        <v>1</v>
      </c>
      <c r="E73" s="55" t="n">
        <v>1</v>
      </c>
      <c r="F73" s="55" t="n">
        <v>0</v>
      </c>
      <c r="G73" s="55" t="n">
        <v>0</v>
      </c>
      <c r="H73" s="55" t="n">
        <v>0</v>
      </c>
      <c r="I73" s="55" t="n">
        <v>0</v>
      </c>
      <c r="J73" s="56" t="n"/>
    </row>
    <row r="74" ht="57.6" customHeight="1" s="70">
      <c r="A74" s="54" t="inlineStr">
        <is>
          <t>(주)규람타워렌탈</t>
        </is>
      </c>
      <c r="B74" s="53" t="inlineStr">
        <is>
          <t>두산에너빌리티(주)</t>
        </is>
      </c>
      <c r="C74" s="42" t="inlineStr">
        <is>
          <t>의왕월암 A3BL 아파트 건설공사 2공구</t>
        </is>
      </c>
      <c r="D74" s="55" t="n">
        <v>3</v>
      </c>
      <c r="E74" s="55" t="n">
        <v>2</v>
      </c>
      <c r="F74" s="55" t="n">
        <v>1</v>
      </c>
      <c r="G74" s="55" t="n">
        <v>0</v>
      </c>
      <c r="H74" s="55" t="n">
        <v>0</v>
      </c>
      <c r="I74" s="55" t="n">
        <v>0</v>
      </c>
      <c r="J74" s="56" t="n"/>
    </row>
    <row r="75" ht="26.4" customHeight="1" s="70">
      <c r="A75" s="53" t="inlineStr">
        <is>
          <t>벽산중기산업주식회사</t>
        </is>
      </c>
      <c r="B75" s="54" t="inlineStr">
        <is>
          <t>(주)대우건설</t>
        </is>
      </c>
      <c r="C75" s="42" t="inlineStr">
        <is>
          <t>용인푸르지오클루센트</t>
        </is>
      </c>
      <c r="D75" s="55" t="n">
        <v>4</v>
      </c>
      <c r="E75" s="55" t="n">
        <v>2</v>
      </c>
      <c r="F75" s="55" t="n">
        <v>2</v>
      </c>
      <c r="G75" s="55" t="n">
        <v>0</v>
      </c>
      <c r="H75" s="55" t="n">
        <v>0</v>
      </c>
      <c r="I75" s="55" t="n">
        <v>0</v>
      </c>
      <c r="J75" s="56" t="n"/>
    </row>
    <row r="76">
      <c r="A76" s="75" t="inlineStr">
        <is>
          <t>합계</t>
        </is>
      </c>
      <c r="B76" s="84" t="n"/>
      <c r="C76" s="85" t="n"/>
      <c r="D76" s="57">
        <f>SUM(D71:D75)</f>
        <v/>
      </c>
      <c r="E76" s="57">
        <f>SUM(E71:E75)</f>
        <v/>
      </c>
      <c r="F76" s="57">
        <f>SUM(F71:F75)</f>
        <v/>
      </c>
      <c r="G76" s="57">
        <f>SUM(G71:G75)</f>
        <v/>
      </c>
      <c r="H76" s="57">
        <f>SUM(H71:H75)</f>
        <v/>
      </c>
      <c r="I76" s="57">
        <f>SUM(I71:I75)</f>
        <v/>
      </c>
      <c r="J76" s="58" t="n"/>
    </row>
    <row r="77">
      <c r="A77" s="73" t="inlineStr">
        <is>
          <t>비율 (총대수=100%)</t>
        </is>
      </c>
      <c r="B77" s="84" t="n"/>
      <c r="C77" s="85" t="n"/>
      <c r="D77" s="86">
        <f>IF($D76=0,0,D76/$D76)</f>
        <v/>
      </c>
      <c r="E77" s="86">
        <f>IF($D76=0,0,E76/$D76)</f>
        <v/>
      </c>
      <c r="F77" s="86">
        <f>IF($D76=0,0,F76/$D76)</f>
        <v/>
      </c>
      <c r="G77" s="86">
        <f>IF($D76=0,0,G76/$D76)</f>
        <v/>
      </c>
      <c r="H77" s="86">
        <f>IF($D76=0,0,H76/$D76)</f>
        <v/>
      </c>
      <c r="I77" s="86">
        <f>IF($D76=0,0,I76/$D76)</f>
        <v/>
      </c>
      <c r="J77" s="60" t="n"/>
    </row>
    <row r="79" ht="19.2" customHeight="1" s="70">
      <c r="A79" s="74" t="inlineStr">
        <is>
          <t>8월 채용 현황</t>
        </is>
      </c>
    </row>
    <row r="80" ht="34.8" customHeight="1" s="70">
      <c r="A80" s="52" t="inlineStr">
        <is>
          <t>임대사</t>
        </is>
      </c>
      <c r="B80" s="52" t="inlineStr">
        <is>
          <t>원청사</t>
        </is>
      </c>
      <c r="C80" s="52" t="inlineStr">
        <is>
          <t>현장명</t>
        </is>
      </c>
      <c r="D80" s="52" t="inlineStr">
        <is>
          <t>총대수</t>
        </is>
      </c>
      <c r="E80" s="52" t="inlineStr">
        <is>
          <t>한노</t>
        </is>
      </c>
      <c r="F80" s="52" t="inlineStr">
        <is>
          <t>민노</t>
        </is>
      </c>
      <c r="G80" s="52" t="inlineStr">
        <is>
          <t>기타(건산섬유)</t>
        </is>
      </c>
      <c r="H80" s="52" t="inlineStr">
        <is>
          <t>직원</t>
        </is>
      </c>
      <c r="I80" s="52" t="inlineStr">
        <is>
          <t>미정</t>
        </is>
      </c>
      <c r="J80" s="52" t="inlineStr">
        <is>
          <t>비고</t>
        </is>
      </c>
    </row>
    <row r="81" ht="39.6" customHeight="1" s="70">
      <c r="A81" s="53" t="inlineStr">
        <is>
          <t>오투기계산업(주)</t>
        </is>
      </c>
      <c r="B81" s="53" t="inlineStr">
        <is>
          <t>에이치디씨현대산업개발(주)</t>
        </is>
      </c>
      <c r="C81" s="42" t="inlineStr">
        <is>
          <t>안양역센트럴아이파크수자인</t>
        </is>
      </c>
      <c r="D81" s="55" t="n">
        <v>4</v>
      </c>
      <c r="E81" s="55" t="n">
        <v>1</v>
      </c>
      <c r="F81" s="55" t="n">
        <v>2</v>
      </c>
      <c r="G81" s="55" t="n">
        <v>0</v>
      </c>
      <c r="H81" s="55" t="n">
        <v>1</v>
      </c>
      <c r="I81" s="55" t="n">
        <v>0</v>
      </c>
      <c r="J81" s="56" t="n"/>
    </row>
    <row r="82" ht="26.4" customHeight="1" s="70">
      <c r="A82" s="54" t="inlineStr">
        <is>
          <t>(주)타워링</t>
        </is>
      </c>
      <c r="B82" s="53" t="inlineStr">
        <is>
          <t>현대건설(주)</t>
        </is>
      </c>
      <c r="C82" s="42" t="inlineStr">
        <is>
          <t>배곧서울대학교병원</t>
        </is>
      </c>
      <c r="D82" s="55" t="n">
        <v>2</v>
      </c>
      <c r="E82" s="55" t="n">
        <v>1</v>
      </c>
      <c r="F82" s="55" t="n">
        <v>1</v>
      </c>
      <c r="G82" s="55" t="n">
        <v>0</v>
      </c>
      <c r="H82" s="55" t="n">
        <v>0</v>
      </c>
      <c r="I82" s="55" t="n">
        <v>0</v>
      </c>
      <c r="J82" s="56" t="n"/>
    </row>
    <row r="83" ht="70.8" customHeight="1" s="70">
      <c r="A83" s="54" t="inlineStr">
        <is>
          <t>(주)대원타워렌탈</t>
        </is>
      </c>
      <c r="B83" s="53" t="inlineStr">
        <is>
          <t>동원건설산업(주)</t>
        </is>
      </c>
      <c r="C83" s="42" t="inlineStr">
        <is>
          <t>제3판교 테크노밸리 상업 1-2,3블럭 업무시설</t>
        </is>
      </c>
      <c r="D83" s="55" t="n">
        <v>3</v>
      </c>
      <c r="E83" s="55" t="n">
        <v>1</v>
      </c>
      <c r="F83" s="55" t="n">
        <v>1</v>
      </c>
      <c r="G83" s="55" t="n">
        <v>0</v>
      </c>
      <c r="H83" s="55" t="n">
        <v>1</v>
      </c>
      <c r="I83" s="55" t="n">
        <v>0</v>
      </c>
      <c r="J83" s="56" t="n"/>
    </row>
    <row r="84" ht="42" customHeight="1" s="70">
      <c r="A84" s="53" t="inlineStr">
        <is>
          <t>주식회사 우정타워</t>
        </is>
      </c>
      <c r="B84" s="53" t="inlineStr">
        <is>
          <t>대방산업개발(주)</t>
        </is>
      </c>
      <c r="C84" s="42" t="inlineStr">
        <is>
          <t>시흥거모지구대방엘리움더루체I</t>
        </is>
      </c>
      <c r="D84" s="55" t="n">
        <v>5</v>
      </c>
      <c r="E84" s="55" t="n">
        <v>1</v>
      </c>
      <c r="F84" s="55" t="n">
        <v>2</v>
      </c>
      <c r="G84" s="55" t="n">
        <v>1</v>
      </c>
      <c r="H84" s="55" t="n">
        <v>1</v>
      </c>
      <c r="I84" s="55" t="n">
        <v>0</v>
      </c>
      <c r="J84" s="56" t="n"/>
    </row>
    <row r="85" ht="26.4" customHeight="1" s="70">
      <c r="A85" s="53" t="inlineStr">
        <is>
          <t>정호개발주식회사</t>
        </is>
      </c>
      <c r="B85" s="53" t="inlineStr">
        <is>
          <t>금호건설(주)</t>
        </is>
      </c>
      <c r="C85" s="42" t="inlineStr">
        <is>
          <t>고덕신도시아테라</t>
        </is>
      </c>
      <c r="D85" s="55" t="n">
        <v>3</v>
      </c>
      <c r="E85" s="55" t="n">
        <v>1</v>
      </c>
      <c r="F85" s="55" t="n">
        <v>2</v>
      </c>
      <c r="G85" s="55" t="n">
        <v>0</v>
      </c>
      <c r="H85" s="55" t="n">
        <v>0</v>
      </c>
      <c r="I85" s="55" t="n">
        <v>0</v>
      </c>
      <c r="J85" s="56" t="n"/>
    </row>
    <row r="86" ht="52.8" customHeight="1" s="70">
      <c r="A86" s="54" t="inlineStr">
        <is>
          <t>(주)우성건설기계</t>
        </is>
      </c>
      <c r="B86" s="53" t="inlineStr">
        <is>
          <t>라온건설(주)</t>
        </is>
      </c>
      <c r="C86" s="42" t="inlineStr">
        <is>
          <t>용인플랫폼시티라온프라이빗아르디에</t>
        </is>
      </c>
      <c r="D86" s="55" t="n">
        <v>3</v>
      </c>
      <c r="E86" s="55" t="n">
        <v>2</v>
      </c>
      <c r="F86" s="55" t="n">
        <v>1</v>
      </c>
      <c r="G86" s="55" t="n">
        <v>0</v>
      </c>
      <c r="H86" s="55" t="n">
        <v>0</v>
      </c>
      <c r="I86" s="55" t="n">
        <v>0</v>
      </c>
      <c r="J86" s="56" t="n"/>
    </row>
    <row r="87" ht="52.8" customHeight="1" s="70">
      <c r="A87" s="54" t="inlineStr">
        <is>
          <t>(주)우성건설기계</t>
        </is>
      </c>
      <c r="B87" s="53" t="inlineStr">
        <is>
          <t>라온건설(주)</t>
        </is>
      </c>
      <c r="C87" s="42" t="inlineStr">
        <is>
          <t>용인플랫폼시티라온프라이빗아르디에</t>
        </is>
      </c>
      <c r="D87" s="55" t="n">
        <v>3</v>
      </c>
      <c r="E87" s="55" t="n">
        <v>2</v>
      </c>
      <c r="F87" s="55" t="n">
        <v>1</v>
      </c>
      <c r="G87" s="55" t="n">
        <v>0</v>
      </c>
      <c r="H87" s="55" t="n">
        <v>0</v>
      </c>
      <c r="I87" s="55" t="n">
        <v>0</v>
      </c>
      <c r="J87" s="56" t="n"/>
    </row>
    <row r="88" ht="42" customHeight="1" s="70">
      <c r="A88" s="54" t="inlineStr">
        <is>
          <t>(주)동양타워엔지니어링</t>
        </is>
      </c>
      <c r="B88" s="53" t="inlineStr">
        <is>
          <t>계룡건설산업(주)</t>
        </is>
      </c>
      <c r="C88" s="42" t="inlineStr">
        <is>
          <t>화성능동A-1BL공동주택</t>
        </is>
      </c>
      <c r="D88" s="55" t="n">
        <v>2</v>
      </c>
      <c r="E88" s="55" t="n">
        <v>1</v>
      </c>
      <c r="F88" s="55" t="n">
        <v>1</v>
      </c>
      <c r="G88" s="55" t="n">
        <v>0</v>
      </c>
      <c r="H88" s="55" t="n">
        <v>0</v>
      </c>
      <c r="I88" s="55" t="n">
        <v>0</v>
      </c>
      <c r="J88" s="56" t="n"/>
    </row>
    <row r="89">
      <c r="A89" s="75" t="inlineStr">
        <is>
          <t>합계</t>
        </is>
      </c>
      <c r="B89" s="84" t="n"/>
      <c r="C89" s="85" t="n"/>
      <c r="D89" s="57">
        <f>SUM(D81:D88)</f>
        <v/>
      </c>
      <c r="E89" s="57">
        <f>SUM(E81:E88)</f>
        <v/>
      </c>
      <c r="F89" s="57">
        <f>SUM(F81:F88)</f>
        <v/>
      </c>
      <c r="G89" s="57">
        <f>SUM(G81:G88)</f>
        <v/>
      </c>
      <c r="H89" s="57">
        <f>SUM(H81:H88)</f>
        <v/>
      </c>
      <c r="I89" s="57">
        <f>SUM(I81:I88)</f>
        <v/>
      </c>
      <c r="J89" s="58" t="n"/>
    </row>
    <row r="90">
      <c r="A90" s="73" t="inlineStr">
        <is>
          <t>비율 (총대수=100%)</t>
        </is>
      </c>
      <c r="B90" s="84" t="n"/>
      <c r="C90" s="85" t="n"/>
      <c r="D90" s="86">
        <f>IF($D89=0,0,D89/$D89)</f>
        <v/>
      </c>
      <c r="E90" s="86">
        <f>IF($D89=0,0,E89/$D89)</f>
        <v/>
      </c>
      <c r="F90" s="86">
        <f>IF($D89=0,0,F89/$D89)</f>
        <v/>
      </c>
      <c r="G90" s="86">
        <f>IF($D89=0,0,G89/$D89)</f>
        <v/>
      </c>
      <c r="H90" s="86">
        <f>IF($D89=0,0,H89/$D89)</f>
        <v/>
      </c>
      <c r="I90" s="86">
        <f>IF($D89=0,0,I89/$D89)</f>
        <v/>
      </c>
      <c r="J90" s="60" t="n"/>
    </row>
    <row r="92" ht="19.2" customHeight="1" s="70">
      <c r="A92" s="74" t="inlineStr">
        <is>
          <t>9월 채용 현황</t>
        </is>
      </c>
    </row>
    <row r="93" ht="34.8" customHeight="1" s="70">
      <c r="A93" s="52" t="inlineStr">
        <is>
          <t>임대사</t>
        </is>
      </c>
      <c r="B93" s="52" t="inlineStr">
        <is>
          <t>원청사</t>
        </is>
      </c>
      <c r="C93" s="52" t="inlineStr">
        <is>
          <t>현장명</t>
        </is>
      </c>
      <c r="D93" s="52" t="inlineStr">
        <is>
          <t>총대수</t>
        </is>
      </c>
      <c r="E93" s="52" t="inlineStr">
        <is>
          <t>한노</t>
        </is>
      </c>
      <c r="F93" s="52" t="inlineStr">
        <is>
          <t>민노</t>
        </is>
      </c>
      <c r="G93" s="52" t="inlineStr">
        <is>
          <t>기타(건산섬유)</t>
        </is>
      </c>
      <c r="H93" s="52" t="inlineStr">
        <is>
          <t>직원</t>
        </is>
      </c>
      <c r="I93" s="52" t="inlineStr">
        <is>
          <t>미정</t>
        </is>
      </c>
      <c r="J93" s="52" t="inlineStr">
        <is>
          <t>비고</t>
        </is>
      </c>
    </row>
    <row r="94" ht="39.6" customHeight="1" s="70">
      <c r="A94" s="54" t="inlineStr">
        <is>
          <t>(주)동양타워엔지니어링</t>
        </is>
      </c>
      <c r="B94" s="53" t="inlineStr">
        <is>
          <t>우미건설(주)</t>
        </is>
      </c>
      <c r="C94" s="42" t="inlineStr">
        <is>
          <t>평택고덕우미린프레스티지</t>
        </is>
      </c>
      <c r="D94" s="55" t="n">
        <v>6</v>
      </c>
      <c r="E94" s="55" t="n">
        <v>2</v>
      </c>
      <c r="F94" s="55" t="n">
        <v>3</v>
      </c>
      <c r="G94" s="55" t="n">
        <v>0</v>
      </c>
      <c r="H94" s="55" t="n">
        <v>0</v>
      </c>
      <c r="I94" s="61" t="n">
        <v>1</v>
      </c>
      <c r="J94" s="62" t="inlineStr">
        <is>
          <t>미정 1대 (배정 미확정)</t>
        </is>
      </c>
    </row>
    <row r="95" ht="81.59999999999999" customHeight="1" s="70">
      <c r="A95" s="54" t="inlineStr">
        <is>
          <t>(주)한진</t>
        </is>
      </c>
      <c r="B95" s="54" t="inlineStr">
        <is>
          <t>(주)포스코이앤씨</t>
        </is>
      </c>
      <c r="C95" s="42" t="inlineStr">
        <is>
          <t>경기도 여주시 홍문동 홍문2지구 공동주택 신축공사</t>
        </is>
      </c>
      <c r="D95" s="55" t="n">
        <v>4</v>
      </c>
      <c r="E95" s="55" t="n">
        <v>1</v>
      </c>
      <c r="F95" s="55" t="n">
        <v>1</v>
      </c>
      <c r="G95" s="55" t="n">
        <v>0</v>
      </c>
      <c r="H95" s="55" t="n">
        <v>0</v>
      </c>
      <c r="I95" s="61" t="n">
        <v>2</v>
      </c>
      <c r="J95" s="62" t="inlineStr">
        <is>
          <t>미정 2대 (배정 미확정)</t>
        </is>
      </c>
    </row>
    <row r="96" ht="28.8" customHeight="1" s="70">
      <c r="A96" s="54" t="inlineStr">
        <is>
          <t>(주)규람타워렌탈</t>
        </is>
      </c>
      <c r="B96" s="53" t="inlineStr">
        <is>
          <t>이수건설(주)</t>
        </is>
      </c>
      <c r="C96" s="42" t="inlineStr">
        <is>
          <t>시흥하중A1BL</t>
        </is>
      </c>
      <c r="D96" s="55" t="n">
        <v>4</v>
      </c>
      <c r="E96" s="55" t="n">
        <v>1</v>
      </c>
      <c r="F96" s="55" t="n">
        <v>1</v>
      </c>
      <c r="G96" s="55" t="n">
        <v>0</v>
      </c>
      <c r="H96" s="55" t="n">
        <v>0</v>
      </c>
      <c r="I96" s="61" t="n">
        <v>2</v>
      </c>
      <c r="J96" s="62" t="inlineStr">
        <is>
          <t>미정 2대 (배정 미확정)</t>
        </is>
      </c>
    </row>
    <row r="97" ht="57.6" customHeight="1" s="70">
      <c r="A97" s="54" t="inlineStr">
        <is>
          <t>(주)규람타워렌탈</t>
        </is>
      </c>
      <c r="B97" s="53" t="inlineStr">
        <is>
          <t>동부건설(주)</t>
        </is>
      </c>
      <c r="C97" s="42" t="inlineStr">
        <is>
          <t>용인클러스터 상생협력시설(기숙사 1차)</t>
        </is>
      </c>
      <c r="D97" s="55" t="n">
        <v>5</v>
      </c>
      <c r="E97" s="55" t="n">
        <v>1</v>
      </c>
      <c r="F97" s="55" t="n">
        <v>0</v>
      </c>
      <c r="G97" s="55" t="n">
        <v>0</v>
      </c>
      <c r="H97" s="55" t="n">
        <v>1</v>
      </c>
      <c r="I97" s="61" t="n">
        <v>3</v>
      </c>
      <c r="J97" s="62" t="inlineStr">
        <is>
          <t>미정 3대 (배정 미확정)</t>
        </is>
      </c>
    </row>
    <row r="98" ht="84" customHeight="1" s="70">
      <c r="A98" s="54" t="inlineStr">
        <is>
          <t>(주)동양타워엔지니어링</t>
        </is>
      </c>
      <c r="B98" s="53" t="inlineStr">
        <is>
          <t>우미건설(주)</t>
        </is>
      </c>
      <c r="C98" s="42" t="inlineStr">
        <is>
          <t>평택 고덕국제화계획지구 Abc-36BL 공동주택 신축공사</t>
        </is>
      </c>
      <c r="D98" s="55" t="n">
        <v>6</v>
      </c>
      <c r="E98" s="55" t="n">
        <v>2</v>
      </c>
      <c r="F98" s="55" t="n">
        <v>2</v>
      </c>
      <c r="G98" s="55" t="n">
        <v>0</v>
      </c>
      <c r="H98" s="55" t="n">
        <v>0</v>
      </c>
      <c r="I98" s="61" t="n">
        <v>2</v>
      </c>
      <c r="J98" s="62" t="inlineStr">
        <is>
          <t>미정 2대 (배정 미확정)</t>
        </is>
      </c>
    </row>
    <row r="99" ht="42" customHeight="1" s="70">
      <c r="A99" s="54" t="inlineStr">
        <is>
          <t>(주)타워랜드</t>
        </is>
      </c>
      <c r="B99" s="53" t="inlineStr">
        <is>
          <t>삼성물산(주)</t>
        </is>
      </c>
      <c r="C99" s="42" t="inlineStr">
        <is>
          <t>용인덕성 AI데이터센터</t>
        </is>
      </c>
      <c r="D99" s="55" t="n">
        <v>4</v>
      </c>
      <c r="E99" s="55" t="n">
        <v>1</v>
      </c>
      <c r="F99" s="55" t="n">
        <v>2</v>
      </c>
      <c r="G99" s="55" t="n">
        <v>1</v>
      </c>
      <c r="H99" s="55" t="n">
        <v>0</v>
      </c>
      <c r="I99" s="55" t="n">
        <v>0</v>
      </c>
      <c r="J99" s="56" t="n"/>
    </row>
    <row r="100" ht="52.8" customHeight="1" s="70">
      <c r="A100" s="53" t="inlineStr">
        <is>
          <t>주식회사 삼진타워</t>
        </is>
      </c>
      <c r="B100" s="54" t="inlineStr">
        <is>
          <t>(주)서희건설</t>
        </is>
      </c>
      <c r="C100" s="42" t="inlineStr">
        <is>
          <t>화성비봉 지역주택조합 아파트 신축공사</t>
        </is>
      </c>
      <c r="D100" s="55" t="n">
        <v>5</v>
      </c>
      <c r="E100" s="55" t="n">
        <v>1</v>
      </c>
      <c r="F100" s="55" t="n">
        <v>1</v>
      </c>
      <c r="G100" s="55" t="n">
        <v>0</v>
      </c>
      <c r="H100" s="55" t="n">
        <v>1</v>
      </c>
      <c r="I100" s="61" t="n">
        <v>2</v>
      </c>
      <c r="J100" s="62" t="inlineStr">
        <is>
          <t>미정 2대 (배정 미확정)</t>
        </is>
      </c>
    </row>
    <row r="101" ht="39.6" customHeight="1" s="70">
      <c r="A101" s="53" t="inlineStr">
        <is>
          <t>신우개발(주)</t>
        </is>
      </c>
      <c r="B101" s="53" t="inlineStr">
        <is>
          <t>기타(비고에 작성)</t>
        </is>
      </c>
      <c r="C101" s="42" t="inlineStr">
        <is>
          <t>수원 친환경 에너지 개선공사</t>
        </is>
      </c>
      <c r="D101" s="55" t="n">
        <v>1</v>
      </c>
      <c r="E101" s="55" t="n">
        <v>1</v>
      </c>
      <c r="F101" s="55" t="n">
        <v>0</v>
      </c>
      <c r="G101" s="55" t="n">
        <v>0</v>
      </c>
      <c r="H101" s="55" t="n">
        <v>0</v>
      </c>
      <c r="I101" s="55" t="n">
        <v>0</v>
      </c>
      <c r="J101" s="56" t="n"/>
    </row>
    <row r="102" ht="26.4" customHeight="1" s="70">
      <c r="A102" s="54" t="inlineStr">
        <is>
          <t>(주)한진</t>
        </is>
      </c>
      <c r="B102" s="53" t="inlineStr">
        <is>
          <t>지에스건설(주)</t>
        </is>
      </c>
      <c r="C102" s="42" t="inlineStr">
        <is>
          <t>수지자이에디시온</t>
        </is>
      </c>
      <c r="D102" s="55" t="n">
        <v>3</v>
      </c>
      <c r="E102" s="55" t="n">
        <v>1</v>
      </c>
      <c r="F102" s="55" t="n">
        <v>1</v>
      </c>
      <c r="G102" s="55" t="n">
        <v>0</v>
      </c>
      <c r="H102" s="55" t="n">
        <v>1</v>
      </c>
      <c r="I102" s="55" t="n">
        <v>0</v>
      </c>
      <c r="J102" s="56" t="n"/>
    </row>
    <row r="103" ht="39.6" customHeight="1" s="70">
      <c r="A103" s="75" t="inlineStr">
        <is>
          <t>합계</t>
        </is>
      </c>
      <c r="B103" s="84" t="n"/>
      <c r="C103" s="85" t="n"/>
      <c r="D103" s="57">
        <f>SUM(D94:D102)</f>
        <v/>
      </c>
      <c r="E103" s="57">
        <f>SUM(E94:E102)</f>
        <v/>
      </c>
      <c r="F103" s="57">
        <f>SUM(F94:F102)</f>
        <v/>
      </c>
      <c r="G103" s="57">
        <f>SUM(G94:G102)</f>
        <v/>
      </c>
      <c r="H103" s="57">
        <f>SUM(H94:H102)</f>
        <v/>
      </c>
      <c r="I103" s="57">
        <f>SUM(I94:I102)</f>
        <v/>
      </c>
      <c r="J103" s="63">
        <f>" ※ 미정 "&amp;I103&amp;"대 아직 미반영 (인력 확정 시 비율 변동)"</f>
        <v/>
      </c>
    </row>
    <row r="104">
      <c r="A104" s="73" t="inlineStr">
        <is>
          <t>비율 (총대수=100%)</t>
        </is>
      </c>
      <c r="B104" s="84" t="n"/>
      <c r="C104" s="85" t="n"/>
      <c r="D104" s="86">
        <f>IF($D103=0,0,D103/$D103)</f>
        <v/>
      </c>
      <c r="E104" s="86">
        <f>IF($D103=0,0,E103/$D103)</f>
        <v/>
      </c>
      <c r="F104" s="86">
        <f>IF($D103=0,0,F103/$D103)</f>
        <v/>
      </c>
      <c r="G104" s="86">
        <f>IF($D103=0,0,G103/$D103)</f>
        <v/>
      </c>
      <c r="H104" s="86">
        <f>IF($D103=0,0,H103/$D103)</f>
        <v/>
      </c>
      <c r="I104" s="86">
        <f>IF($D103=0,0,I103/$D103)</f>
        <v/>
      </c>
      <c r="J104" s="60" t="n"/>
    </row>
  </sheetData>
  <mergeCells count="27">
    <mergeCell ref="A90:C90"/>
    <mergeCell ref="A41:C41"/>
    <mergeCell ref="A66:C66"/>
    <mergeCell ref="A89:C89"/>
    <mergeCell ref="A18:C18"/>
    <mergeCell ref="A20:J20"/>
    <mergeCell ref="A43:J43"/>
    <mergeCell ref="A50:C50"/>
    <mergeCell ref="A52:J52"/>
    <mergeCell ref="A104:C104"/>
    <mergeCell ref="A76:C76"/>
    <mergeCell ref="A31:J31"/>
    <mergeCell ref="A8:C8"/>
    <mergeCell ref="A92:J92"/>
    <mergeCell ref="A17:C17"/>
    <mergeCell ref="A29:C29"/>
    <mergeCell ref="A11:J11"/>
    <mergeCell ref="A28:C28"/>
    <mergeCell ref="A1:J1"/>
    <mergeCell ref="A79:J79"/>
    <mergeCell ref="A40:C40"/>
    <mergeCell ref="A69:J69"/>
    <mergeCell ref="A67:C67"/>
    <mergeCell ref="A9:C9"/>
    <mergeCell ref="A77:C77"/>
    <mergeCell ref="A49:C49"/>
    <mergeCell ref="A103:C103"/>
  </mergeCells>
  <pageMargins left="0.7" right="0.7" top="0.75" bottom="0.75" header="0.3" footer="0.3"/>
  <pageSetup orientation="portrait" paperSize="9" horizontalDpi="1200" verticalDpi="120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사무차장 본조</dc:creator>
  <dcterms:created xmlns:dcterms="http://purl.org/dc/terms/" xmlns:xsi="http://www.w3.org/2001/XMLSchema-instance" xsi:type="dcterms:W3CDTF">2026-02-10T05:24:03Z</dcterms:created>
  <dcterms:modified xmlns:dcterms="http://purl.org/dc/terms/" xmlns:xsi="http://www.w3.org/2001/XMLSchema-instance" xsi:type="dcterms:W3CDTF">2026-10-09T07:43:52Z</dcterms:modified>
  <cp:lastModifiedBy>juju</cp:lastModifiedBy>
</cp:coreProperties>
</file>